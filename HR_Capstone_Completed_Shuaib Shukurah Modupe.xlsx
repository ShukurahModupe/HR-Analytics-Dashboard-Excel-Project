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840 G2\Downloads\"/>
    </mc:Choice>
  </mc:AlternateContent>
  <xr:revisionPtr revIDLastSave="0" documentId="8_{D5A2B400-371B-40DC-B8CB-27BF59980C09}" xr6:coauthVersionLast="47" xr6:coauthVersionMax="47" xr10:uidLastSave="{00000000-0000-0000-0000-000000000000}"/>
  <bookViews>
    <workbookView xWindow="-120" yWindow="-120" windowWidth="20730" windowHeight="11040" activeTab="1" xr2:uid="{00000000-000D-0000-FFFF-FFFF00000000}"/>
  </bookViews>
  <sheets>
    <sheet name="Raw_Employee_Data" sheetId="1" r:id="rId1"/>
    <sheet name="Analysis" sheetId="4" r:id="rId2"/>
    <sheet name="HR Dashboard" sheetId="5" r:id="rId3"/>
    <sheet name="Lookup_Departments" sheetId="2" r:id="rId4"/>
    <sheet name="Lookup_Performance" sheetId="3" r:id="rId5"/>
  </sheets>
  <definedNames>
    <definedName name="Slicer_Department_Name">#N/A</definedName>
    <definedName name="Slicer_EmploymentStatus">#N/A</definedName>
    <definedName name="Slicer_Performance_Band">#N/A</definedName>
  </definedNames>
  <calcPr calcId="181029"/>
  <pivotCaches>
    <pivotCache cacheId="1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R8" i="5" l="1"/>
  <c r="R12" i="5"/>
  <c r="R10" i="5"/>
  <c r="J24" i="4"/>
  <c r="J25" i="4"/>
  <c r="J26" i="4"/>
  <c r="J27" i="4"/>
  <c r="J28" i="4"/>
  <c r="J29" i="4"/>
  <c r="J23" i="4"/>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2" i="1"/>
  <c r="O5" i="1" s="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2"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6" i="1"/>
  <c r="K17" i="1"/>
  <c r="K18" i="1"/>
  <c r="K3" i="1"/>
  <c r="K4" i="1"/>
  <c r="K5" i="1"/>
  <c r="K6" i="1"/>
  <c r="K7" i="1"/>
  <c r="K8" i="1"/>
  <c r="K9" i="1"/>
  <c r="K10" i="1"/>
  <c r="K11" i="1"/>
  <c r="K12" i="1"/>
  <c r="K13" i="1"/>
  <c r="K14" i="1"/>
  <c r="K15"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2" i="1"/>
  <c r="O14" i="1"/>
  <c r="O1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2" i="1"/>
  <c r="O4" i="1" l="1"/>
  <c r="R14" i="5"/>
</calcChain>
</file>

<file path=xl/sharedStrings.xml><?xml version="1.0" encoding="utf-8"?>
<sst xmlns="http://schemas.openxmlformats.org/spreadsheetml/2006/main" count="853" uniqueCount="228">
  <si>
    <t>First_Name</t>
  </si>
  <si>
    <t>Last_Name</t>
  </si>
  <si>
    <t>Hire Date</t>
  </si>
  <si>
    <t>Salary</t>
  </si>
  <si>
    <t>Perf_Score</t>
  </si>
  <si>
    <t>EMP127</t>
  </si>
  <si>
    <t>Emily</t>
  </si>
  <si>
    <t>Brown</t>
  </si>
  <si>
    <t>IT02</t>
  </si>
  <si>
    <t>EMP046</t>
  </si>
  <si>
    <t>Richard</t>
  </si>
  <si>
    <t>Hernandez</t>
  </si>
  <si>
    <t>MKT04</t>
  </si>
  <si>
    <t>EMP134</t>
  </si>
  <si>
    <t>Gonzalez</t>
  </si>
  <si>
    <t>EMP139</t>
  </si>
  <si>
    <t>John</t>
  </si>
  <si>
    <t>Martinez</t>
  </si>
  <si>
    <t>FIN03</t>
  </si>
  <si>
    <t>EMP112</t>
  </si>
  <si>
    <t>Thomas</t>
  </si>
  <si>
    <t>Smith</t>
  </si>
  <si>
    <t>Left</t>
  </si>
  <si>
    <t>EMP030</t>
  </si>
  <si>
    <t>Johnson</t>
  </si>
  <si>
    <t>OPS06</t>
  </si>
  <si>
    <t>EMP096</t>
  </si>
  <si>
    <t>Wilson</t>
  </si>
  <si>
    <t>EMP098</t>
  </si>
  <si>
    <t>Jessica</t>
  </si>
  <si>
    <t>EMP095</t>
  </si>
  <si>
    <t>Rodriguez</t>
  </si>
  <si>
    <t>EMP140</t>
  </si>
  <si>
    <t>Michael</t>
  </si>
  <si>
    <t>SAL05</t>
  </si>
  <si>
    <t>Active</t>
  </si>
  <si>
    <t>EMP020</t>
  </si>
  <si>
    <t>Miller</t>
  </si>
  <si>
    <t>EMP057</t>
  </si>
  <si>
    <t>EMP016</t>
  </si>
  <si>
    <t>Jane</t>
  </si>
  <si>
    <t>Williams</t>
  </si>
  <si>
    <t>EMP070</t>
  </si>
  <si>
    <t>EMP025</t>
  </si>
  <si>
    <t>Robert</t>
  </si>
  <si>
    <t>Jones</t>
  </si>
  <si>
    <t>EMP031</t>
  </si>
  <si>
    <t>EMP126</t>
  </si>
  <si>
    <t>Davis</t>
  </si>
  <si>
    <t>EMP109</t>
  </si>
  <si>
    <t>James</t>
  </si>
  <si>
    <t>EMP066</t>
  </si>
  <si>
    <t>Ashley</t>
  </si>
  <si>
    <t>Lopez</t>
  </si>
  <si>
    <t>EMP120</t>
  </si>
  <si>
    <t>Amanda</t>
  </si>
  <si>
    <t>EMP019</t>
  </si>
  <si>
    <t>EMP013</t>
  </si>
  <si>
    <t>EMP010</t>
  </si>
  <si>
    <t>EMP032</t>
  </si>
  <si>
    <t>EMP082</t>
  </si>
  <si>
    <t>EMP052</t>
  </si>
  <si>
    <t>EMP129</t>
  </si>
  <si>
    <t>EMP146</t>
  </si>
  <si>
    <t>EMP099</t>
  </si>
  <si>
    <t>EMP015</t>
  </si>
  <si>
    <t>EMP076</t>
  </si>
  <si>
    <t>EMP137</t>
  </si>
  <si>
    <t>EMP056</t>
  </si>
  <si>
    <t>Sarah</t>
  </si>
  <si>
    <t>EMP125</t>
  </si>
  <si>
    <t>HR01</t>
  </si>
  <si>
    <t>EMP085</t>
  </si>
  <si>
    <t>EMP106</t>
  </si>
  <si>
    <t>EMP043</t>
  </si>
  <si>
    <t>EMP068</t>
  </si>
  <si>
    <t>Melissa</t>
  </si>
  <si>
    <t>EMP128</t>
  </si>
  <si>
    <t>EMP027</t>
  </si>
  <si>
    <t>EMP136</t>
  </si>
  <si>
    <t>EMP079</t>
  </si>
  <si>
    <t>David</t>
  </si>
  <si>
    <t>EMP149</t>
  </si>
  <si>
    <t>Resigned</t>
  </si>
  <si>
    <t>EMP037</t>
  </si>
  <si>
    <t>EMP077</t>
  </si>
  <si>
    <t>EMP023</t>
  </si>
  <si>
    <t>EMP133</t>
  </si>
  <si>
    <t>EMP141</t>
  </si>
  <si>
    <t>EMP012</t>
  </si>
  <si>
    <t>EMP080</t>
  </si>
  <si>
    <t>EMP069</t>
  </si>
  <si>
    <t>EMP150</t>
  </si>
  <si>
    <t>EMP028</t>
  </si>
  <si>
    <t>EMP087</t>
  </si>
  <si>
    <t>EMP119</t>
  </si>
  <si>
    <t>Garcia</t>
  </si>
  <si>
    <t>EMP042</t>
  </si>
  <si>
    <t>Anderson</t>
  </si>
  <si>
    <t>EMP005</t>
  </si>
  <si>
    <t>EMP033</t>
  </si>
  <si>
    <t>EMP061</t>
  </si>
  <si>
    <t>EMP102</t>
  </si>
  <si>
    <t>EMP067</t>
  </si>
  <si>
    <t>EMP017</t>
  </si>
  <si>
    <t>EMP123</t>
  </si>
  <si>
    <t>EMP011</t>
  </si>
  <si>
    <t>EMP091</t>
  </si>
  <si>
    <t>EMP145</t>
  </si>
  <si>
    <t>EMP001</t>
  </si>
  <si>
    <t>EMP113</t>
  </si>
  <si>
    <t>EMP065</t>
  </si>
  <si>
    <t>EMP045</t>
  </si>
  <si>
    <t>EMP083</t>
  </si>
  <si>
    <t>William</t>
  </si>
  <si>
    <t>EMP029</t>
  </si>
  <si>
    <t>EMP041</t>
  </si>
  <si>
    <t>EMP026</t>
  </si>
  <si>
    <t>EMP024</t>
  </si>
  <si>
    <t>EMP111</t>
  </si>
  <si>
    <t>EMP040</t>
  </si>
  <si>
    <t>EMP086</t>
  </si>
  <si>
    <t>EMP124</t>
  </si>
  <si>
    <t>EMP132</t>
  </si>
  <si>
    <t>EMP048</t>
  </si>
  <si>
    <t>EMP114</t>
  </si>
  <si>
    <t>EMP062</t>
  </si>
  <si>
    <t>EMP074</t>
  </si>
  <si>
    <t>EMP034</t>
  </si>
  <si>
    <t>EMP105</t>
  </si>
  <si>
    <t>EMP118</t>
  </si>
  <si>
    <t>EMP063</t>
  </si>
  <si>
    <t>EMP094</t>
  </si>
  <si>
    <t>EMP097</t>
  </si>
  <si>
    <t>EMP054</t>
  </si>
  <si>
    <t>EMP006</t>
  </si>
  <si>
    <t>EMP110</t>
  </si>
  <si>
    <t>EMP147</t>
  </si>
  <si>
    <t>EMP050</t>
  </si>
  <si>
    <t>EMP036</t>
  </si>
  <si>
    <t>EMP081</t>
  </si>
  <si>
    <t>EMP078</t>
  </si>
  <si>
    <t>EMP035</t>
  </si>
  <si>
    <t>EMP047</t>
  </si>
  <si>
    <t>EMP008</t>
  </si>
  <si>
    <t>EMP044</t>
  </si>
  <si>
    <t>EMP071</t>
  </si>
  <si>
    <t>EMP115</t>
  </si>
  <si>
    <t>EMP092</t>
  </si>
  <si>
    <t>EMP084</t>
  </si>
  <si>
    <t>EMP142</t>
  </si>
  <si>
    <t>EMP143</t>
  </si>
  <si>
    <t>EMP090</t>
  </si>
  <si>
    <t>EMP009</t>
  </si>
  <si>
    <t>EMP014</t>
  </si>
  <si>
    <t>EMP060</t>
  </si>
  <si>
    <t>EMP135</t>
  </si>
  <si>
    <t>EMP004</t>
  </si>
  <si>
    <t>EMP018</t>
  </si>
  <si>
    <t>EMP039</t>
  </si>
  <si>
    <t>EMP073</t>
  </si>
  <si>
    <t>EMP138</t>
  </si>
  <si>
    <t>EMP007</t>
  </si>
  <si>
    <t>EMP144</t>
  </si>
  <si>
    <t>EMP101</t>
  </si>
  <si>
    <t>EMP003</t>
  </si>
  <si>
    <t>EMP121</t>
  </si>
  <si>
    <t>EMP064</t>
  </si>
  <si>
    <t>EMP116</t>
  </si>
  <si>
    <t>EMP055</t>
  </si>
  <si>
    <t>EMP108</t>
  </si>
  <si>
    <t>EMP051</t>
  </si>
  <si>
    <t>EMP059</t>
  </si>
  <si>
    <t>EMP049</t>
  </si>
  <si>
    <t>EMP089</t>
  </si>
  <si>
    <t>EMP022</t>
  </si>
  <si>
    <t>EMP058</t>
  </si>
  <si>
    <t>EMP130</t>
  </si>
  <si>
    <t>EMP038</t>
  </si>
  <si>
    <t>EMP148</t>
  </si>
  <si>
    <t>EMP002</t>
  </si>
  <si>
    <t>EMP053</t>
  </si>
  <si>
    <t>EMP131</t>
  </si>
  <si>
    <t>EMP104</t>
  </si>
  <si>
    <t>EMP100</t>
  </si>
  <si>
    <t>EMP117</t>
  </si>
  <si>
    <t>EMP088</t>
  </si>
  <si>
    <t>EMP075</t>
  </si>
  <si>
    <t>EMP122</t>
  </si>
  <si>
    <t>EMP021</t>
  </si>
  <si>
    <t>EMP072</t>
  </si>
  <si>
    <t>EMP107</t>
  </si>
  <si>
    <t>EMP093</t>
  </si>
  <si>
    <t>EMP103</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</si>
  <si>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</si>
  <si>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</si>
  <si>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</si>
  <si>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</si>
  <si>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</si>
  <si>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</si>
  <si>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</si>
  <si>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</si>
  <si>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</si>
  <si>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</si>
  <si>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</si>
  <si>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</si>
  <si>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</si>
  <si>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</si>
  <si>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</si>
  <si>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</si>
  <si>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</si>
  <si>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Full Name</t>
  </si>
  <si>
    <t>DeptCode</t>
  </si>
  <si>
    <t>Department Name</t>
  </si>
  <si>
    <t>EmploymentStatus</t>
  </si>
  <si>
    <t>Year of Sevice</t>
  </si>
  <si>
    <t>Performance Band</t>
  </si>
  <si>
    <t>EMP ID</t>
  </si>
  <si>
    <t>Eligible Bonus Amount</t>
  </si>
  <si>
    <t>Count of EMP ID</t>
  </si>
  <si>
    <t>Average of Salary</t>
  </si>
  <si>
    <t>Row Labels</t>
  </si>
  <si>
    <t>Grand Total</t>
  </si>
  <si>
    <t>Column Labels</t>
  </si>
  <si>
    <t>Count of EmploymentStatus</t>
  </si>
  <si>
    <t>Attrition Rate</t>
  </si>
  <si>
    <t>Average of Perf_Score</t>
  </si>
  <si>
    <t>Sum of Eligible Bonus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</si>
</sst>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7" formatCode="&quot;$&quot;#,##0.00"/>
    <numFmt numFmtId="178" formatCode="&quot;$&quot;#,##0"/>
    <numFmt numFmtId="183" formatCode="_(&quot;$&quot;* #,##0_);_(&quot;$&quot;* \(#,##0\);_(&quot;$&quot;* &quot;-&quot;??_);_(@_)"/>
  </numFmts>
  <fonts count="4" x14ac:knownFonts="1">
    <font>
      <sz val="11"/>
      <color theme="1"/>
      <name val="Calibri"/>
      <family val="2"/>
      <scheme val="minor"/>
    </font>
    <font>
      <b/>
      <sz val="11"/>
      <name val="Calibri"/>
    </font>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5">
    <xf numFmtId="0" fontId="0" fillId="0" borderId="0" xfId="0"/>
    <xf numFmtId="0" fontId="1" fillId="0" borderId="1" xfId="0" applyFont="1" applyBorder="1" applyAlignment="1">
      <alignment horizontal="center" vertical="top"/>
    </xf>
    <xf numFmtId="14" fontId="0" fillId="0" borderId="0" xfId="0" applyNumberFormat="1"/>
    <xf numFmtId="14" fontId="1" fillId="0" borderId="1" xfId="0" applyNumberFormat="1" applyFont="1" applyBorder="1" applyAlignment="1">
      <alignment horizontal="center" vertical="top"/>
    </xf>
    <xf numFmtId="0" fontId="3" fillId="0" borderId="1" xfId="0" applyFont="1" applyBorder="1" applyAlignment="1">
      <alignment horizontal="center" vertical="top"/>
    </xf>
    <xf numFmtId="167" fontId="1" fillId="0" borderId="1" xfId="0" applyNumberFormat="1" applyFont="1" applyBorder="1" applyAlignment="1">
      <alignment horizontal="center" vertical="top"/>
    </xf>
    <xf numFmtId="167" fontId="0" fillId="0" borderId="0" xfId="0" applyNumberFormat="1"/>
    <xf numFmtId="0" fontId="3" fillId="0" borderId="2" xfId="0" applyFont="1" applyFill="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9" fontId="0" fillId="0" borderId="0" xfId="2" applyFont="1"/>
    <xf numFmtId="1" fontId="0" fillId="0" borderId="0" xfId="0" applyNumberFormat="1"/>
    <xf numFmtId="178" fontId="0" fillId="0" borderId="0" xfId="0" applyNumberFormat="1"/>
    <xf numFmtId="183" fontId="0" fillId="0" borderId="0" xfId="1" applyNumberFormat="1" applyFont="1"/>
  </cellXfs>
  <cellStyles count="3">
    <cellStyle name="Currency" xfId="1" builtinId="4"/>
    <cellStyle name="Normal" xfId="0" builtinId="0"/>
    <cellStyle name="Percent" xfId="2" builtinId="5"/>
  </cellStyles>
  <dxfs count="20">
    <dxf>
      <numFmt numFmtId="178" formatCode="&quot;$&quot;#,##0"/>
    </dxf>
    <dxf>
      <numFmt numFmtId="2" formatCode="0.00"/>
    </dxf>
    <dxf>
      <numFmt numFmtId="1" formatCode="0"/>
    </dxf>
    <dxf>
      <numFmt numFmtId="2" formatCode="0.00"/>
    </dxf>
    <dxf>
      <numFmt numFmtId="1" formatCode="0"/>
    </dxf>
    <dxf>
      <numFmt numFmtId="178" formatCode="&quot;$&quot;#,##0"/>
    </dxf>
    <dxf>
      <numFmt numFmtId="2" formatCode="0.00"/>
    </dxf>
    <dxf>
      <numFmt numFmtId="1" formatCode="0"/>
    </dxf>
    <dxf>
      <numFmt numFmtId="178" formatCode="&quot;$&quot;#,##0"/>
    </dxf>
    <dxf>
      <numFmt numFmtId="2" formatCode="0.00"/>
    </dxf>
    <dxf>
      <numFmt numFmtId="1" formatCode="0"/>
    </dxf>
    <dxf>
      <numFmt numFmtId="178" formatCode="&quot;$&quot;#,##0"/>
    </dxf>
    <dxf>
      <numFmt numFmtId="2" formatCode="0.00"/>
    </dxf>
    <dxf>
      <numFmt numFmtId="1" formatCode="0"/>
    </dxf>
    <dxf>
      <numFmt numFmtId="178" formatCode="&quot;$&quot;#,##0"/>
    </dxf>
    <dxf>
      <font>
        <b/>
        <i val="0"/>
        <strike val="0"/>
        <condense val="0"/>
        <extend val="0"/>
        <outline val="0"/>
        <shadow val="0"/>
        <u val="none"/>
        <vertAlign val="baseline"/>
        <sz val="11"/>
        <color auto="1"/>
        <name val="Calibri"/>
        <family val="2"/>
        <scheme val="none"/>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7" formatCode="&quot;$&quot;#,##0.00"/>
    </dxf>
    <dxf>
      <numFmt numFmtId="0" formatCode="General"/>
    </dxf>
    <dxf>
      <numFmt numFmtId="167" formatCode="&quot;$&quot;#,##0.00"/>
    </dxf>
    <dxf>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[HR_Capstone_Completed_Shuaib Shukurah Modupe.xlsx]Analysis!PivotTable6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Analysis!$H$2</c:f>
              <c:strCache>
                <c:ptCount val="1"/>
                <c:pt idx="0">
                  <c:v>Total</c:v>
                </c:pt>
              </c:strCache>
            </c:strRef>
          </c:tx>
          <c:spPr>
            <a:solidFill>
              <a:schemeClr val="accent1"/>
            </a:solidFill>
            <a:ln>
              <a:noFill/>
            </a:ln>
            <a:effectLst/>
          </c:spPr>
          <c:invertIfNegative val="0"/>
          <c:cat>
            <c:strRef>
              <c:f>Analysis!$G$3:$G$9</c:f>
              <c:strCache>
                <c:ptCount val="6"/>
                <c:pt idx="0">
                  <c:v>Finance</c:v>
                </c:pt>
                <c:pt idx="1">
                  <c:v>Human Resources</c:v>
                </c:pt>
                <c:pt idx="2">
                  <c:v>Information Technology</c:v>
                </c:pt>
                <c:pt idx="3">
                  <c:v>Marketing</c:v>
                </c:pt>
                <c:pt idx="4">
                  <c:v>Operations</c:v>
                </c:pt>
                <c:pt idx="5">
                  <c:v>Sales</c:v>
                </c:pt>
              </c:strCache>
            </c:strRef>
          </c:cat>
          <c:val>
            <c:numRef>
              <c:f>Analysis!$H$3:$H$9</c:f>
              <c:numCache>
                <c:formatCode>General</c:formatCode>
                <c:ptCount val="6"/>
                <c:pt idx="0">
                  <c:v>17</c:v>
                </c:pt>
                <c:pt idx="1">
                  <c:v>18</c:v>
                </c:pt>
                <c:pt idx="2">
                  <c:v>36</c:v>
                </c:pt>
                <c:pt idx="3">
                  <c:v>19</c:v>
                </c:pt>
                <c:pt idx="4">
                  <c:v>29</c:v>
                </c:pt>
                <c:pt idx="5">
                  <c:v>31</c:v>
                </c:pt>
              </c:numCache>
            </c:numRef>
          </c:val>
          <c:extLst>
            <c:ext xmlns:c16="http://schemas.microsoft.com/office/drawing/2014/chart" uri="{C3380CC4-5D6E-409C-BE32-E72D297353CC}">
              <c16:uniqueId val="{00000000-B9DC-4DA6-B333-417BB5FB2777}"/>
            </c:ext>
          </c:extLst>
        </c:ser>
        <c:dLbls>
          <c:showLegendKey val="0"/>
          <c:showVal val="0"/>
          <c:showCatName val="0"/>
          <c:showSerName val="0"/>
          <c:showPercent val="0"/>
          <c:showBubbleSize val="0"/>
        </c:dLbls>
        <c:gapWidth val="219"/>
        <c:overlap val="-27"/>
        <c:axId val="622224856"/>
        <c:axId val="622223416"/>
      </c:barChart>
      <c:catAx>
        <c:axId val="622224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223416"/>
        <c:crosses val="autoZero"/>
        <c:auto val="1"/>
        <c:lblAlgn val="ctr"/>
        <c:lblOffset val="100"/>
        <c:noMultiLvlLbl val="0"/>
      </c:catAx>
      <c:valAx>
        <c:axId val="622223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224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[HR_Capstone_Completed_Shuaib Shukurah Modupe.xlsx]Analysis!PivotTable3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Analysis!$F$21:$F$22</c:f>
              <c:strCache>
                <c:ptCount val="1"/>
                <c:pt idx="0">
                  <c:v>Active</c:v>
                </c:pt>
              </c:strCache>
            </c:strRef>
          </c:tx>
          <c:spPr>
            <a:solidFill>
              <a:schemeClr val="accent1"/>
            </a:solidFill>
            <a:ln>
              <a:noFill/>
            </a:ln>
            <a:effectLst/>
          </c:spPr>
          <c:invertIfNegative val="0"/>
          <c:cat>
            <c:strRef>
              <c:f>Analysis!$E$23:$E$29</c:f>
              <c:strCache>
                <c:ptCount val="6"/>
                <c:pt idx="0">
                  <c:v>Finance</c:v>
                </c:pt>
                <c:pt idx="1">
                  <c:v>Human Resources</c:v>
                </c:pt>
                <c:pt idx="2">
                  <c:v>Information Technology</c:v>
                </c:pt>
                <c:pt idx="3">
                  <c:v>Marketing</c:v>
                </c:pt>
                <c:pt idx="4">
                  <c:v>Operations</c:v>
                </c:pt>
                <c:pt idx="5">
                  <c:v>Sales</c:v>
                </c:pt>
              </c:strCache>
            </c:strRef>
          </c:cat>
          <c:val>
            <c:numRef>
              <c:f>Analysis!$F$23:$F$29</c:f>
              <c:numCache>
                <c:formatCode>General</c:formatCode>
                <c:ptCount val="6"/>
                <c:pt idx="0">
                  <c:v>14</c:v>
                </c:pt>
                <c:pt idx="1">
                  <c:v>15</c:v>
                </c:pt>
                <c:pt idx="2">
                  <c:v>28</c:v>
                </c:pt>
                <c:pt idx="3">
                  <c:v>16</c:v>
                </c:pt>
                <c:pt idx="4">
                  <c:v>18</c:v>
                </c:pt>
                <c:pt idx="5">
                  <c:v>25</c:v>
                </c:pt>
              </c:numCache>
            </c:numRef>
          </c:val>
          <c:extLst>
            <c:ext xmlns:c16="http://schemas.microsoft.com/office/drawing/2014/chart" uri="{C3380CC4-5D6E-409C-BE32-E72D297353CC}">
              <c16:uniqueId val="{00000000-73B5-4DC9-AFD3-7201D0E3FB0C}"/>
            </c:ext>
          </c:extLst>
        </c:ser>
        <c:ser>
          <c:idx val="1"/>
          <c:order val="1"/>
          <c:tx>
            <c:strRef>
              <c:f>Analysis!$G$21:$G$22</c:f>
              <c:strCache>
                <c:ptCount val="1"/>
                <c:pt idx="0">
                  <c:v>Left</c:v>
                </c:pt>
              </c:strCache>
            </c:strRef>
          </c:tx>
          <c:spPr>
            <a:solidFill>
              <a:schemeClr val="accent2"/>
            </a:solidFill>
            <a:ln>
              <a:noFill/>
            </a:ln>
            <a:effectLst/>
          </c:spPr>
          <c:invertIfNegative val="0"/>
          <c:cat>
            <c:strRef>
              <c:f>Analysis!$E$23:$E$29</c:f>
              <c:strCache>
                <c:ptCount val="6"/>
                <c:pt idx="0">
                  <c:v>Finance</c:v>
                </c:pt>
                <c:pt idx="1">
                  <c:v>Human Resources</c:v>
                </c:pt>
                <c:pt idx="2">
                  <c:v>Information Technology</c:v>
                </c:pt>
                <c:pt idx="3">
                  <c:v>Marketing</c:v>
                </c:pt>
                <c:pt idx="4">
                  <c:v>Operations</c:v>
                </c:pt>
                <c:pt idx="5">
                  <c:v>Sales</c:v>
                </c:pt>
              </c:strCache>
            </c:strRef>
          </c:cat>
          <c:val>
            <c:numRef>
              <c:f>Analysis!$G$23:$G$29</c:f>
              <c:numCache>
                <c:formatCode>General</c:formatCode>
                <c:ptCount val="6"/>
                <c:pt idx="0">
                  <c:v>3</c:v>
                </c:pt>
                <c:pt idx="1">
                  <c:v>2</c:v>
                </c:pt>
                <c:pt idx="2">
                  <c:v>6</c:v>
                </c:pt>
                <c:pt idx="3">
                  <c:v>3</c:v>
                </c:pt>
                <c:pt idx="4">
                  <c:v>6</c:v>
                </c:pt>
                <c:pt idx="5">
                  <c:v>4</c:v>
                </c:pt>
              </c:numCache>
            </c:numRef>
          </c:val>
          <c:extLst>
            <c:ext xmlns:c16="http://schemas.microsoft.com/office/drawing/2014/chart" uri="{C3380CC4-5D6E-409C-BE32-E72D297353CC}">
              <c16:uniqueId val="{00000001-73B5-4DC9-AFD3-7201D0E3FB0C}"/>
            </c:ext>
          </c:extLst>
        </c:ser>
        <c:ser>
          <c:idx val="2"/>
          <c:order val="2"/>
          <c:tx>
            <c:strRef>
              <c:f>Analysis!$H$21:$H$22</c:f>
              <c:strCache>
                <c:ptCount val="1"/>
                <c:pt idx="0">
                  <c:v>Resigned</c:v>
                </c:pt>
              </c:strCache>
            </c:strRef>
          </c:tx>
          <c:spPr>
            <a:solidFill>
              <a:schemeClr val="accent3"/>
            </a:solidFill>
            <a:ln>
              <a:noFill/>
            </a:ln>
            <a:effectLst/>
          </c:spPr>
          <c:invertIfNegative val="0"/>
          <c:cat>
            <c:strRef>
              <c:f>Analysis!$E$23:$E$29</c:f>
              <c:strCache>
                <c:ptCount val="6"/>
                <c:pt idx="0">
                  <c:v>Finance</c:v>
                </c:pt>
                <c:pt idx="1">
                  <c:v>Human Resources</c:v>
                </c:pt>
                <c:pt idx="2">
                  <c:v>Information Technology</c:v>
                </c:pt>
                <c:pt idx="3">
                  <c:v>Marketing</c:v>
                </c:pt>
                <c:pt idx="4">
                  <c:v>Operations</c:v>
                </c:pt>
                <c:pt idx="5">
                  <c:v>Sales</c:v>
                </c:pt>
              </c:strCache>
            </c:strRef>
          </c:cat>
          <c:val>
            <c:numRef>
              <c:f>Analysis!$H$23:$H$29</c:f>
              <c:numCache>
                <c:formatCode>General</c:formatCode>
                <c:ptCount val="6"/>
                <c:pt idx="1">
                  <c:v>1</c:v>
                </c:pt>
                <c:pt idx="2">
                  <c:v>2</c:v>
                </c:pt>
                <c:pt idx="4">
                  <c:v>5</c:v>
                </c:pt>
                <c:pt idx="5">
                  <c:v>2</c:v>
                </c:pt>
              </c:numCache>
            </c:numRef>
          </c:val>
          <c:extLst>
            <c:ext xmlns:c16="http://schemas.microsoft.com/office/drawing/2014/chart" uri="{C3380CC4-5D6E-409C-BE32-E72D297353CC}">
              <c16:uniqueId val="{00000002-73B5-4DC9-AFD3-7201D0E3FB0C}"/>
            </c:ext>
          </c:extLst>
        </c:ser>
        <c:dLbls>
          <c:showLegendKey val="0"/>
          <c:showVal val="0"/>
          <c:showCatName val="0"/>
          <c:showSerName val="0"/>
          <c:showPercent val="0"/>
          <c:showBubbleSize val="0"/>
        </c:dLbls>
        <c:gapWidth val="219"/>
        <c:overlap val="-27"/>
        <c:axId val="622224496"/>
        <c:axId val="622225936"/>
      </c:barChart>
      <c:catAx>
        <c:axId val="62222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225936"/>
        <c:crosses val="autoZero"/>
        <c:auto val="1"/>
        <c:lblAlgn val="ctr"/>
        <c:lblOffset val="100"/>
        <c:noMultiLvlLbl val="0"/>
      </c:catAx>
      <c:valAx>
        <c:axId val="62222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22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[HR_Capstone_Completed_Shuaib Shukurah Modupe.xlsx]Analysis!PivotTable5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Analysis!$B$28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6F-4A1F-BABB-7537E10336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6F-4A1F-BABB-7537E10336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6F-4A1F-BABB-7537E10336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D6F-4A1F-BABB-7537E10336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D6F-4A1F-BABB-7537E1033622}"/>
              </c:ext>
            </c:extLst>
          </c:dPt>
          <c:cat>
            <c:strRef>
              <c:f>Analysis!$A$29:$A$34</c:f>
              <c:strCache>
                <c:ptCount val="5"/>
                <c:pt idx="0">
                  <c:v>Achieving</c:v>
                </c:pt>
                <c:pt idx="1">
                  <c:v>Developing</c:v>
                </c:pt>
                <c:pt idx="2">
                  <c:v>Exceeding</c:v>
                </c:pt>
                <c:pt idx="3">
                  <c:v>Needs Improvement</c:v>
                </c:pt>
                <c:pt idx="4">
                  <c:v>Outstanding</c:v>
                </c:pt>
              </c:strCache>
            </c:strRef>
          </c:cat>
          <c:val>
            <c:numRef>
              <c:f>Analysis!$B$29:$B$34</c:f>
              <c:numCache>
                <c:formatCode>"$"#,##0.00</c:formatCode>
                <c:ptCount val="5"/>
                <c:pt idx="0">
                  <c:v>197690.1575</c:v>
                </c:pt>
                <c:pt idx="1">
                  <c:v>71372.448800000027</c:v>
                </c:pt>
                <c:pt idx="2">
                  <c:v>144546.94880000001</c:v>
                </c:pt>
                <c:pt idx="3">
                  <c:v>0</c:v>
                </c:pt>
                <c:pt idx="4">
                  <c:v>92304.651600000012</c:v>
                </c:pt>
              </c:numCache>
            </c:numRef>
          </c:val>
          <c:extLst>
            <c:ext xmlns:c16="http://schemas.microsoft.com/office/drawing/2014/chart" uri="{C3380CC4-5D6E-409C-BE32-E72D297353CC}">
              <c16:uniqueId val="{0000000A-7D6F-4A1F-BABB-7537E103362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[HR_Capstone_Completed_Shuaib Shukurah Modupe.xlsx]Analysis!PivotTable8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Analysis!$B$37</c:f>
              <c:strCache>
                <c:ptCount val="1"/>
                <c:pt idx="0">
                  <c:v>Total</c:v>
                </c:pt>
              </c:strCache>
            </c:strRef>
          </c:tx>
          <c:spPr>
            <a:solidFill>
              <a:schemeClr val="accent1"/>
            </a:solidFill>
            <a:ln>
              <a:noFill/>
            </a:ln>
            <a:effectLst/>
          </c:spPr>
          <c:invertIfNegative val="0"/>
          <c:cat>
            <c:strRef>
              <c:f>Analysis!$A$38:$A$44</c:f>
              <c:strCache>
                <c:ptCount val="6"/>
                <c:pt idx="0">
                  <c:v>Finance</c:v>
                </c:pt>
                <c:pt idx="1">
                  <c:v>Human Resources</c:v>
                </c:pt>
                <c:pt idx="2">
                  <c:v>Information Technology</c:v>
                </c:pt>
                <c:pt idx="3">
                  <c:v>Marketing</c:v>
                </c:pt>
                <c:pt idx="4">
                  <c:v>Operations</c:v>
                </c:pt>
                <c:pt idx="5">
                  <c:v>Sales</c:v>
                </c:pt>
              </c:strCache>
            </c:strRef>
          </c:cat>
          <c:val>
            <c:numRef>
              <c:f>Analysis!$B$38:$B$44</c:f>
              <c:numCache>
                <c:formatCode>"$"#,##0.00</c:formatCode>
                <c:ptCount val="6"/>
                <c:pt idx="0">
                  <c:v>87016.428823529393</c:v>
                </c:pt>
                <c:pt idx="1">
                  <c:v>85486.801666666666</c:v>
                </c:pt>
                <c:pt idx="2">
                  <c:v>80389.143055555571</c:v>
                </c:pt>
                <c:pt idx="3">
                  <c:v>85361.075263157894</c:v>
                </c:pt>
                <c:pt idx="4">
                  <c:v>79988.512413793098</c:v>
                </c:pt>
                <c:pt idx="5">
                  <c:v>86103.272258064535</c:v>
                </c:pt>
              </c:numCache>
            </c:numRef>
          </c:val>
          <c:extLst>
            <c:ext xmlns:c16="http://schemas.microsoft.com/office/drawing/2014/chart" uri="{C3380CC4-5D6E-409C-BE32-E72D297353CC}">
              <c16:uniqueId val="{00000000-A71A-468E-856E-BF3BAED9AB26}"/>
            </c:ext>
          </c:extLst>
        </c:ser>
        <c:dLbls>
          <c:showLegendKey val="0"/>
          <c:showVal val="0"/>
          <c:showCatName val="0"/>
          <c:showSerName val="0"/>
          <c:showPercent val="0"/>
          <c:showBubbleSize val="0"/>
        </c:dLbls>
        <c:gapWidth val="219"/>
        <c:overlap val="-27"/>
        <c:axId val="617625464"/>
        <c:axId val="617627264"/>
      </c:barChart>
      <c:catAx>
        <c:axId val="617625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627264"/>
        <c:crosses val="autoZero"/>
        <c:auto val="1"/>
        <c:lblAlgn val="ctr"/>
        <c:lblOffset val="100"/>
        <c:noMultiLvlLbl val="0"/>
      </c:catAx>
      <c:valAx>
        <c:axId val="6176272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625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[HR_Capstone_Completed_Shuaib Shukurah Modupe.xlsx]Analysis!PivotTable6</c:name>
    <c:fmtId val="3"/>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sz="2000" b="1" baseline="0">
                <a:solidFill>
                  <a:schemeClr val="tx2"/>
                </a:solidFill>
                <a:latin typeface="Times New Roman" panose="02020603050405020304" pitchFamily="18" charset="0"/>
                <a:cs typeface="Times New Roman" panose="02020603050405020304" pitchFamily="18" charset="0"/>
              </a:rPr>
              <a:t>Employee Count By Department</a:t>
            </a:r>
            <a:endParaRPr lang="en-US" sz="2000" b="1">
              <a:solidFill>
                <a:schemeClr val="tx2"/>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Analysis!$H$2</c:f>
              <c:strCache>
                <c:ptCount val="1"/>
                <c:pt idx="0">
                  <c:v>Total</c:v>
                </c:pt>
              </c:strCache>
            </c:strRef>
          </c:tx>
          <c:spPr>
            <a:solidFill>
              <a:schemeClr val="accent1"/>
            </a:solidFill>
            <a:ln>
              <a:noFill/>
            </a:ln>
            <a:effectLst/>
          </c:spPr>
          <c:invertIfNegative val="0"/>
          <c:cat>
            <c:strRef>
              <c:f>Analysis!$G$3:$G$9</c:f>
              <c:strCache>
                <c:ptCount val="6"/>
                <c:pt idx="0">
                  <c:v>Finance</c:v>
                </c:pt>
                <c:pt idx="1">
                  <c:v>Human Resources</c:v>
                </c:pt>
                <c:pt idx="2">
                  <c:v>Information Technology</c:v>
                </c:pt>
                <c:pt idx="3">
                  <c:v>Marketing</c:v>
                </c:pt>
                <c:pt idx="4">
                  <c:v>Operations</c:v>
                </c:pt>
                <c:pt idx="5">
                  <c:v>Sales</c:v>
                </c:pt>
              </c:strCache>
            </c:strRef>
          </c:cat>
          <c:val>
            <c:numRef>
              <c:f>Analysis!$H$3:$H$9</c:f>
              <c:numCache>
                <c:formatCode>General</c:formatCode>
                <c:ptCount val="6"/>
                <c:pt idx="0">
                  <c:v>17</c:v>
                </c:pt>
                <c:pt idx="1">
                  <c:v>18</c:v>
                </c:pt>
                <c:pt idx="2">
                  <c:v>36</c:v>
                </c:pt>
                <c:pt idx="3">
                  <c:v>19</c:v>
                </c:pt>
                <c:pt idx="4">
                  <c:v>29</c:v>
                </c:pt>
                <c:pt idx="5">
                  <c:v>31</c:v>
                </c:pt>
              </c:numCache>
            </c:numRef>
          </c:val>
          <c:extLst>
            <c:ext xmlns:c16="http://schemas.microsoft.com/office/drawing/2014/chart" uri="{C3380CC4-5D6E-409C-BE32-E72D297353CC}">
              <c16:uniqueId val="{00000000-E2AE-4182-809D-9767418A3B58}"/>
            </c:ext>
          </c:extLst>
        </c:ser>
        <c:dLbls>
          <c:showLegendKey val="0"/>
          <c:showVal val="0"/>
          <c:showCatName val="0"/>
          <c:showSerName val="0"/>
          <c:showPercent val="0"/>
          <c:showBubbleSize val="0"/>
        </c:dLbls>
        <c:gapWidth val="219"/>
        <c:overlap val="-27"/>
        <c:axId val="622224856"/>
        <c:axId val="622223416"/>
      </c:barChart>
      <c:catAx>
        <c:axId val="622224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223416"/>
        <c:crosses val="autoZero"/>
        <c:auto val="1"/>
        <c:lblAlgn val="ctr"/>
        <c:lblOffset val="100"/>
        <c:noMultiLvlLbl val="0"/>
      </c:catAx>
      <c:valAx>
        <c:axId val="622223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224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[HR_Capstone_Completed_Shuaib Shukurah Modupe.xlsx]Analysis!PivotTable3</c:name>
    <c:fmtId val="2"/>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sz="2000" b="1">
                <a:solidFill>
                  <a:schemeClr val="tx2"/>
                </a:solidFill>
                <a:latin typeface="Times New Roman" panose="02020603050405020304" pitchFamily="18" charset="0"/>
                <a:cs typeface="Times New Roman" panose="02020603050405020304" pitchFamily="18" charset="0"/>
              </a:rPr>
              <a:t>Attrition</a:t>
            </a:r>
            <a:r>
              <a:rPr lang="en-US" sz="2000" b="1" baseline="0">
                <a:solidFill>
                  <a:schemeClr val="tx2"/>
                </a:solidFill>
                <a:latin typeface="Times New Roman" panose="02020603050405020304" pitchFamily="18" charset="0"/>
                <a:cs typeface="Times New Roman" panose="02020603050405020304" pitchFamily="18" charset="0"/>
              </a:rPr>
              <a:t> By Department</a:t>
            </a:r>
            <a:endParaRPr lang="en-US" sz="2000" b="1">
              <a:solidFill>
                <a:schemeClr val="tx2"/>
              </a:solidFill>
              <a:latin typeface="Times New Roman" panose="02020603050405020304" pitchFamily="18" charset="0"/>
              <a:cs typeface="Times New Roman" panose="02020603050405020304" pitchFamily="18" charset="0"/>
            </a:endParaRPr>
          </a:p>
        </c:rich>
      </c:tx>
      <c:layout>
        <c:manualLayout>
          <c:xMode val="edge"/>
          <c:yMode val="edge"/>
          <c:x val="0.1818263342082239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Analysis!$F$21:$F$22</c:f>
              <c:strCache>
                <c:ptCount val="1"/>
                <c:pt idx="0">
                  <c:v>Active</c:v>
                </c:pt>
              </c:strCache>
            </c:strRef>
          </c:tx>
          <c:spPr>
            <a:solidFill>
              <a:schemeClr val="accent1"/>
            </a:solidFill>
            <a:ln>
              <a:noFill/>
            </a:ln>
            <a:effectLst/>
          </c:spPr>
          <c:invertIfNegative val="0"/>
          <c:cat>
            <c:strRef>
              <c:f>Analysis!$E$23:$E$29</c:f>
              <c:strCache>
                <c:ptCount val="6"/>
                <c:pt idx="0">
                  <c:v>Finance</c:v>
                </c:pt>
                <c:pt idx="1">
                  <c:v>Human Resources</c:v>
                </c:pt>
                <c:pt idx="2">
                  <c:v>Information Technology</c:v>
                </c:pt>
                <c:pt idx="3">
                  <c:v>Marketing</c:v>
                </c:pt>
                <c:pt idx="4">
                  <c:v>Operations</c:v>
                </c:pt>
                <c:pt idx="5">
                  <c:v>Sales</c:v>
                </c:pt>
              </c:strCache>
            </c:strRef>
          </c:cat>
          <c:val>
            <c:numRef>
              <c:f>Analysis!$F$23:$F$29</c:f>
              <c:numCache>
                <c:formatCode>General</c:formatCode>
                <c:ptCount val="6"/>
                <c:pt idx="0">
                  <c:v>14</c:v>
                </c:pt>
                <c:pt idx="1">
                  <c:v>15</c:v>
                </c:pt>
                <c:pt idx="2">
                  <c:v>28</c:v>
                </c:pt>
                <c:pt idx="3">
                  <c:v>16</c:v>
                </c:pt>
                <c:pt idx="4">
                  <c:v>18</c:v>
                </c:pt>
                <c:pt idx="5">
                  <c:v>25</c:v>
                </c:pt>
              </c:numCache>
            </c:numRef>
          </c:val>
          <c:extLst>
            <c:ext xmlns:c16="http://schemas.microsoft.com/office/drawing/2014/chart" uri="{C3380CC4-5D6E-409C-BE32-E72D297353CC}">
              <c16:uniqueId val="{00000000-0A48-43EF-A01B-24E0D3AAC836}"/>
            </c:ext>
          </c:extLst>
        </c:ser>
        <c:ser>
          <c:idx val="1"/>
          <c:order val="1"/>
          <c:tx>
            <c:strRef>
              <c:f>Analysis!$G$21:$G$22</c:f>
              <c:strCache>
                <c:ptCount val="1"/>
                <c:pt idx="0">
                  <c:v>Left</c:v>
                </c:pt>
              </c:strCache>
            </c:strRef>
          </c:tx>
          <c:spPr>
            <a:solidFill>
              <a:schemeClr val="accent2"/>
            </a:solidFill>
            <a:ln>
              <a:noFill/>
            </a:ln>
            <a:effectLst/>
          </c:spPr>
          <c:invertIfNegative val="0"/>
          <c:cat>
            <c:strRef>
              <c:f>Analysis!$E$23:$E$29</c:f>
              <c:strCache>
                <c:ptCount val="6"/>
                <c:pt idx="0">
                  <c:v>Finance</c:v>
                </c:pt>
                <c:pt idx="1">
                  <c:v>Human Resources</c:v>
                </c:pt>
                <c:pt idx="2">
                  <c:v>Information Technology</c:v>
                </c:pt>
                <c:pt idx="3">
                  <c:v>Marketing</c:v>
                </c:pt>
                <c:pt idx="4">
                  <c:v>Operations</c:v>
                </c:pt>
                <c:pt idx="5">
                  <c:v>Sales</c:v>
                </c:pt>
              </c:strCache>
            </c:strRef>
          </c:cat>
          <c:val>
            <c:numRef>
              <c:f>Analysis!$G$23:$G$29</c:f>
              <c:numCache>
                <c:formatCode>General</c:formatCode>
                <c:ptCount val="6"/>
                <c:pt idx="0">
                  <c:v>3</c:v>
                </c:pt>
                <c:pt idx="1">
                  <c:v>2</c:v>
                </c:pt>
                <c:pt idx="2">
                  <c:v>6</c:v>
                </c:pt>
                <c:pt idx="3">
                  <c:v>3</c:v>
                </c:pt>
                <c:pt idx="4">
                  <c:v>6</c:v>
                </c:pt>
                <c:pt idx="5">
                  <c:v>4</c:v>
                </c:pt>
              </c:numCache>
            </c:numRef>
          </c:val>
          <c:extLst>
            <c:ext xmlns:c16="http://schemas.microsoft.com/office/drawing/2014/chart" uri="{C3380CC4-5D6E-409C-BE32-E72D297353CC}">
              <c16:uniqueId val="{00000001-0A48-43EF-A01B-24E0D3AAC836}"/>
            </c:ext>
          </c:extLst>
        </c:ser>
        <c:ser>
          <c:idx val="2"/>
          <c:order val="2"/>
          <c:tx>
            <c:strRef>
              <c:f>Analysis!$H$21:$H$22</c:f>
              <c:strCache>
                <c:ptCount val="1"/>
                <c:pt idx="0">
                  <c:v>Resigned</c:v>
                </c:pt>
              </c:strCache>
            </c:strRef>
          </c:tx>
          <c:spPr>
            <a:solidFill>
              <a:schemeClr val="accent3"/>
            </a:solidFill>
            <a:ln>
              <a:noFill/>
            </a:ln>
            <a:effectLst/>
          </c:spPr>
          <c:invertIfNegative val="0"/>
          <c:cat>
            <c:strRef>
              <c:f>Analysis!$E$23:$E$29</c:f>
              <c:strCache>
                <c:ptCount val="6"/>
                <c:pt idx="0">
                  <c:v>Finance</c:v>
                </c:pt>
                <c:pt idx="1">
                  <c:v>Human Resources</c:v>
                </c:pt>
                <c:pt idx="2">
                  <c:v>Information Technology</c:v>
                </c:pt>
                <c:pt idx="3">
                  <c:v>Marketing</c:v>
                </c:pt>
                <c:pt idx="4">
                  <c:v>Operations</c:v>
                </c:pt>
                <c:pt idx="5">
                  <c:v>Sales</c:v>
                </c:pt>
              </c:strCache>
            </c:strRef>
          </c:cat>
          <c:val>
            <c:numRef>
              <c:f>Analysis!$H$23:$H$29</c:f>
              <c:numCache>
                <c:formatCode>General</c:formatCode>
                <c:ptCount val="6"/>
                <c:pt idx="1">
                  <c:v>1</c:v>
                </c:pt>
                <c:pt idx="2">
                  <c:v>2</c:v>
                </c:pt>
                <c:pt idx="4">
                  <c:v>5</c:v>
                </c:pt>
                <c:pt idx="5">
                  <c:v>2</c:v>
                </c:pt>
              </c:numCache>
            </c:numRef>
          </c:val>
          <c:extLst>
            <c:ext xmlns:c16="http://schemas.microsoft.com/office/drawing/2014/chart" uri="{C3380CC4-5D6E-409C-BE32-E72D297353CC}">
              <c16:uniqueId val="{00000002-0A48-43EF-A01B-24E0D3AAC836}"/>
            </c:ext>
          </c:extLst>
        </c:ser>
        <c:dLbls>
          <c:showLegendKey val="0"/>
          <c:showVal val="0"/>
          <c:showCatName val="0"/>
          <c:showSerName val="0"/>
          <c:showPercent val="0"/>
          <c:showBubbleSize val="0"/>
        </c:dLbls>
        <c:gapWidth val="219"/>
        <c:overlap val="-27"/>
        <c:axId val="622224496"/>
        <c:axId val="622225936"/>
      </c:barChart>
      <c:catAx>
        <c:axId val="622224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225936"/>
        <c:crosses val="autoZero"/>
        <c:auto val="1"/>
        <c:lblAlgn val="ctr"/>
        <c:lblOffset val="100"/>
        <c:noMultiLvlLbl val="0"/>
      </c:catAx>
      <c:valAx>
        <c:axId val="62222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22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[HR_Capstone_Completed_Shuaib Shukurah Modupe.xlsx]Analysis!PivotTable5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sz="1800" b="1">
                <a:solidFill>
                  <a:schemeClr val="tx2"/>
                </a:solidFill>
                <a:latin typeface="Times New Roman" panose="02020603050405020304" pitchFamily="18" charset="0"/>
                <a:cs typeface="Times New Roman" panose="02020603050405020304" pitchFamily="18" charset="0"/>
              </a:rPr>
              <a:t>Total Bonus</a:t>
            </a:r>
            <a:r>
              <a:rPr lang="en-US" sz="1800" b="1" baseline="0">
                <a:solidFill>
                  <a:schemeClr val="tx2"/>
                </a:solidFill>
                <a:latin typeface="Times New Roman" panose="02020603050405020304" pitchFamily="18" charset="0"/>
                <a:cs typeface="Times New Roman" panose="02020603050405020304" pitchFamily="18" charset="0"/>
              </a:rPr>
              <a:t> Payout By Performance Bands</a:t>
            </a:r>
            <a:endParaRPr lang="en-US" sz="1800" b="1">
              <a:solidFill>
                <a:schemeClr val="tx2"/>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5"/>
          </a:solidFill>
          <a:ln w="19050">
            <a:solidFill>
              <a:schemeClr val="lt1"/>
            </a:solidFill>
          </a:ln>
          <a:effectLst/>
        </c:spPr>
      </c:pivotFmt>
    </c:pivotFmts>
    <c:plotArea>
      <c:layout/>
      <c:doughnutChart>
        <c:varyColors val="1"/>
        <c:ser>
          <c:idx val="0"/>
          <c:order val="0"/>
          <c:tx>
            <c:strRef>
              <c:f>Analysis!$B$28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F2-45E4-91BB-326342DE06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F2-45E4-91BB-326342DE06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F2-45E4-91BB-326342DE06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F2-45E4-91BB-326342DE06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EF2-45E4-91BB-326342DE06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Analysis!$A$29:$A$34</c:f>
              <c:strCache>
                <c:ptCount val="5"/>
                <c:pt idx="0">
                  <c:v>Achieving</c:v>
                </c:pt>
                <c:pt idx="1">
                  <c:v>Developing</c:v>
                </c:pt>
                <c:pt idx="2">
                  <c:v>Exceeding</c:v>
                </c:pt>
                <c:pt idx="3">
                  <c:v>Needs Improvement</c:v>
                </c:pt>
                <c:pt idx="4">
                  <c:v>Outstanding</c:v>
                </c:pt>
              </c:strCache>
            </c:strRef>
          </c:cat>
          <c:val>
            <c:numRef>
              <c:f>Analysis!$B$29:$B$34</c:f>
              <c:numCache>
                <c:formatCode>"$"#,##0.00</c:formatCode>
                <c:ptCount val="5"/>
                <c:pt idx="0">
                  <c:v>197690.1575</c:v>
                </c:pt>
                <c:pt idx="1">
                  <c:v>71372.448800000027</c:v>
                </c:pt>
                <c:pt idx="2">
                  <c:v>144546.94880000001</c:v>
                </c:pt>
                <c:pt idx="3">
                  <c:v>0</c:v>
                </c:pt>
                <c:pt idx="4">
                  <c:v>92304.651600000012</c:v>
                </c:pt>
              </c:numCache>
            </c:numRef>
          </c:val>
          <c:extLst>
            <c:ext xmlns:c16="http://schemas.microsoft.com/office/drawing/2014/chart" uri="{C3380CC4-5D6E-409C-BE32-E72D297353CC}">
              <c16:uniqueId val="{0000000A-8EF2-45E4-91BB-326342DE06A5}"/>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[HR_Capstone_Completed_Shuaib Shukurah Modupe.xlsx]Analysis!PivotTable8</c:name>
    <c:fmtId val="2"/>
  </c:pivotSource>
  <c:chart>
    <c:title>
      <c:tx>
        <c:rich>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r>
              <a:rPr lang="en-US" sz="1800" b="1">
                <a:solidFill>
                  <a:schemeClr val="tx2"/>
                </a:solidFill>
                <a:latin typeface="Times New Roman" panose="02020603050405020304" pitchFamily="18" charset="0"/>
                <a:cs typeface="Times New Roman" panose="02020603050405020304" pitchFamily="18" charset="0"/>
              </a:rPr>
              <a:t>Average</a:t>
            </a:r>
            <a:r>
              <a:rPr lang="en-US" sz="1800" b="1" baseline="0">
                <a:solidFill>
                  <a:schemeClr val="tx2"/>
                </a:solidFill>
                <a:latin typeface="Times New Roman" panose="02020603050405020304" pitchFamily="18" charset="0"/>
                <a:cs typeface="Times New Roman" panose="02020603050405020304" pitchFamily="18" charset="0"/>
              </a:rPr>
              <a:t> </a:t>
            </a:r>
            <a:r>
              <a:rPr lang="en-US" sz="1800" b="1">
                <a:solidFill>
                  <a:schemeClr val="tx2"/>
                </a:solidFill>
                <a:latin typeface="Times New Roman" panose="02020603050405020304" pitchFamily="18" charset="0"/>
                <a:cs typeface="Times New Roman" panose="02020603050405020304" pitchFamily="18" charset="0"/>
              </a:rPr>
              <a:t>Salary</a:t>
            </a:r>
            <a:r>
              <a:rPr lang="en-US" sz="1800" b="1" baseline="0">
                <a:solidFill>
                  <a:schemeClr val="tx2"/>
                </a:solidFill>
                <a:latin typeface="Times New Roman" panose="02020603050405020304" pitchFamily="18" charset="0"/>
                <a:cs typeface="Times New Roman" panose="02020603050405020304" pitchFamily="18" charset="0"/>
              </a:rPr>
              <a:t> By Department</a:t>
            </a:r>
            <a:endParaRPr lang="en-US" sz="1800" b="1">
              <a:solidFill>
                <a:schemeClr val="tx2"/>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Analysis!$B$37</c:f>
              <c:strCache>
                <c:ptCount val="1"/>
                <c:pt idx="0">
                  <c:v>Total</c:v>
                </c:pt>
              </c:strCache>
            </c:strRef>
          </c:tx>
          <c:spPr>
            <a:solidFill>
              <a:schemeClr val="accent1"/>
            </a:solidFill>
            <a:ln>
              <a:noFill/>
            </a:ln>
            <a:effectLst/>
          </c:spPr>
          <c:invertIfNegative val="0"/>
          <c:cat>
            <c:strRef>
              <c:f>Analysis!$A$38:$A$44</c:f>
              <c:strCache>
                <c:ptCount val="6"/>
                <c:pt idx="0">
                  <c:v>Finance</c:v>
                </c:pt>
                <c:pt idx="1">
                  <c:v>Human Resources</c:v>
                </c:pt>
                <c:pt idx="2">
                  <c:v>Information Technology</c:v>
                </c:pt>
                <c:pt idx="3">
                  <c:v>Marketing</c:v>
                </c:pt>
                <c:pt idx="4">
                  <c:v>Operations</c:v>
                </c:pt>
                <c:pt idx="5">
                  <c:v>Sales</c:v>
                </c:pt>
              </c:strCache>
            </c:strRef>
          </c:cat>
          <c:val>
            <c:numRef>
              <c:f>Analysis!$B$38:$B$44</c:f>
              <c:numCache>
                <c:formatCode>"$"#,##0.00</c:formatCode>
                <c:ptCount val="6"/>
                <c:pt idx="0">
                  <c:v>87016.428823529393</c:v>
                </c:pt>
                <c:pt idx="1">
                  <c:v>85486.801666666666</c:v>
                </c:pt>
                <c:pt idx="2">
                  <c:v>80389.143055555571</c:v>
                </c:pt>
                <c:pt idx="3">
                  <c:v>85361.075263157894</c:v>
                </c:pt>
                <c:pt idx="4">
                  <c:v>79988.512413793098</c:v>
                </c:pt>
                <c:pt idx="5">
                  <c:v>86103.272258064535</c:v>
                </c:pt>
              </c:numCache>
            </c:numRef>
          </c:val>
          <c:extLst>
            <c:ext xmlns:c16="http://schemas.microsoft.com/office/drawing/2014/chart" uri="{C3380CC4-5D6E-409C-BE32-E72D297353CC}">
              <c16:uniqueId val="{00000000-0C24-43D0-80D3-0B702EBDE099}"/>
            </c:ext>
          </c:extLst>
        </c:ser>
        <c:dLbls>
          <c:showLegendKey val="0"/>
          <c:showVal val="0"/>
          <c:showCatName val="0"/>
          <c:showSerName val="0"/>
          <c:showPercent val="0"/>
          <c:showBubbleSize val="0"/>
        </c:dLbls>
        <c:gapWidth val="219"/>
        <c:overlap val="-27"/>
        <c:axId val="617625464"/>
        <c:axId val="617627264"/>
      </c:barChart>
      <c:catAx>
        <c:axId val="617625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627264"/>
        <c:crosses val="autoZero"/>
        <c:auto val="1"/>
        <c:lblAlgn val="ctr"/>
        <c:lblOffset val="100"/>
        <c:noMultiLvlLbl val="0"/>
      </c:catAx>
      <c:valAx>
        <c:axId val="6176272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625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28575</xdr:colOff>
      <xdr:row>0</xdr:row>
      <xdr:rowOff>4762</xdr:rowOff>
    </xdr:from>
    <xdr:to>
      <xdr:col>14</xdr:col>
      <xdr:colOff>533400</xdr:colOff>
      <xdr:row>14</xdr:row>
      <xdr:rowOff>80962</xdr:rowOff>
    </xdr:to>
    <xdr:graphicFrame macro="">
      <xdr:nvGraphicFramePr>
        <xdr:cNvPr id="2" name="Chart 1">
          <a:extLst>
            <a:ext uri="{FF2B5EF4-FFF2-40B4-BE49-F238E27FC236}">
              <a16:creationId xmlns:a16="http://schemas.microsoft.com/office/drawing/2014/main" id="{390DDCAA-E63B-F718-05B1-7BA1F4B01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152400</xdr:colOff>
      <xdr:row>0</xdr:row>
      <xdr:rowOff>0</xdr:rowOff>
    </xdr:from>
    <xdr:to>
      <xdr:col>22</xdr:col>
      <xdr:colOff>457200</xdr:colOff>
      <xdr:row>14</xdr:row>
      <xdr:rowOff>76200</xdr:rowOff>
    </xdr:to>
    <xdr:graphicFrame macro="">
      <xdr:nvGraphicFramePr>
        <xdr:cNvPr id="3" name="Chart 2">
          <a:extLst>
            <a:ext uri="{FF2B5EF4-FFF2-40B4-BE49-F238E27FC236}">
              <a16:creationId xmlns:a16="http://schemas.microsoft.com/office/drawing/2014/main" id="{B12D99FB-9E73-02A0-5C30-2165744F9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17</xdr:row>
      <xdr:rowOff>0</xdr:rowOff>
    </xdr:from>
    <xdr:to>
      <xdr:col>18</xdr:col>
      <xdr:colOff>504825</xdr:colOff>
      <xdr:row>31</xdr:row>
      <xdr:rowOff>76200</xdr:rowOff>
    </xdr:to>
    <xdr:graphicFrame macro="">
      <xdr:nvGraphicFramePr>
        <xdr:cNvPr id="5" name="Chart 4">
          <a:extLst>
            <a:ext uri="{FF2B5EF4-FFF2-40B4-BE49-F238E27FC236}">
              <a16:creationId xmlns:a16="http://schemas.microsoft.com/office/drawing/2014/main" id="{E8436406-CA9B-48B3-87F5-1A474609F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142875</xdr:colOff>
      <xdr:row>34</xdr:row>
      <xdr:rowOff>185737</xdr:rowOff>
    </xdr:from>
    <xdr:to>
      <xdr:col>6</xdr:col>
      <xdr:colOff>847725</xdr:colOff>
      <xdr:row>49</xdr:row>
      <xdr:rowOff>71437</xdr:rowOff>
    </xdr:to>
    <xdr:graphicFrame macro="">
      <xdr:nvGraphicFramePr>
        <xdr:cNvPr id="6" name="Chart 5">
          <a:extLst>
            <a:ext uri="{FF2B5EF4-FFF2-40B4-BE49-F238E27FC236}">
              <a16:creationId xmlns:a16="http://schemas.microsoft.com/office/drawing/2014/main" id="{D5C4E684-A1B8-C3BC-74C4-F68202D3A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1685925</xdr:colOff>
      <xdr:row>49</xdr:row>
      <xdr:rowOff>38100</xdr:rowOff>
    </xdr:from>
    <xdr:to>
      <xdr:col>8</xdr:col>
      <xdr:colOff>76200</xdr:colOff>
      <xdr:row>62</xdr:row>
      <xdr:rowOff>85725</xdr:rowOff>
    </xdr:to>
    <mc:AlternateContent xmlns:mc="http://schemas.openxmlformats.org/markup-compatibility/2006">
      <mc:Choice xmlns:a14="http://schemas.microsoft.com/office/drawing/2010/main" Requires="a14">
        <xdr:graphicFrame macro="">
          <xdr:nvGraphicFramePr>
            <xdr:cNvPr id="7" name="EmploymentStatus">
              <a:extLst>
                <a:ext uri="{FF2B5EF4-FFF2-40B4-BE49-F238E27FC236}">
                  <a16:creationId xmlns:a16="http://schemas.microsoft.com/office/drawing/2014/main" id="{D8A05878-3952-3837-A9AA-2D466FB23803}"/>
                </a:ext>
              </a:extLst>
            </xdr:cNvPr>
            <xdr:cNvGraphicFramePr/>
          </xdr:nvGraphicFramePr>
          <xdr:xfrm>
            <a:off x="0" y="0"/>
            <a:ext cx="0" cy="0"/>
          </xdr:xfrm>
          <a:graphic>
            <a:graphicData uri="http://schemas.microsoft.com/office/drawing/2010/slicer">
              <sle:slicer xmlns:sle="http://schemas.microsoft.com/office/drawing/2010/slicer" name="EmploymentStatus"/>
            </a:graphicData>
          </a:graphic>
        </xdr:graphicFrame>
      </mc:Choice>
      <mc:Fallback>
        <xdr:sp macro="" textlink="">
          <xdr:nvSpPr>
            <xdr:cNvPr id="0" name=""/>
            <xdr:cNvSpPr>
              <a:spLocks noTextEdit="1"/>
            </xdr:cNvSpPr>
          </xdr:nvSpPr>
          <xdr:spPr>
            <a:xfrm>
              <a:off x="6372225" y="9372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1657350</xdr:colOff>
      <xdr:row>35</xdr:row>
      <xdr:rowOff>114300</xdr:rowOff>
    </xdr:from>
    <xdr:to>
      <xdr:col>10</xdr:col>
      <xdr:colOff>371475</xdr:colOff>
      <xdr:row>48</xdr:row>
      <xdr:rowOff>161925</xdr:rowOff>
    </xdr:to>
    <mc:AlternateContent xmlns:mc="http://schemas.openxmlformats.org/markup-compatibility/2006">
      <mc:Choice xmlns:a14="http://schemas.microsoft.com/office/drawing/2010/main" Requires="a14">
        <xdr:graphicFrame macro="">
          <xdr:nvGraphicFramePr>
            <xdr:cNvPr id="8" name="Department Name">
              <a:extLst>
                <a:ext uri="{FF2B5EF4-FFF2-40B4-BE49-F238E27FC236}">
                  <a16:creationId xmlns:a16="http://schemas.microsoft.com/office/drawing/2014/main" id="{7390D017-A1C1-9AE2-BEC2-5EBBCCD16CB3}"/>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dr:sp macro="" textlink="">
          <xdr:nvSpPr>
            <xdr:cNvPr id="0" name=""/>
            <xdr:cNvSpPr>
              <a:spLocks noTextEdit="1"/>
            </xdr:cNvSpPr>
          </xdr:nvSpPr>
          <xdr:spPr>
            <a:xfrm>
              <a:off x="8029575" y="6781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1562100</xdr:colOff>
      <xdr:row>35</xdr:row>
      <xdr:rowOff>57150</xdr:rowOff>
    </xdr:from>
    <xdr:to>
      <xdr:col>8</xdr:col>
      <xdr:colOff>76200</xdr:colOff>
      <xdr:row>48</xdr:row>
      <xdr:rowOff>104775</xdr:rowOff>
    </xdr:to>
    <mc:AlternateContent xmlns:mc="http://schemas.openxmlformats.org/markup-compatibility/2006">
      <mc:Choice xmlns:a14="http://schemas.microsoft.com/office/drawing/2010/main" Requires="a14">
        <xdr:graphicFrame macro="">
          <xdr:nvGraphicFramePr>
            <xdr:cNvPr id="9" name="Performance Band">
              <a:extLst>
                <a:ext uri="{FF2B5EF4-FFF2-40B4-BE49-F238E27FC236}">
                  <a16:creationId xmlns:a16="http://schemas.microsoft.com/office/drawing/2014/main" id="{9D965B1C-6391-42C1-FE97-3319BF413B4E}"/>
                </a:ext>
              </a:extLst>
            </xdr:cNvPr>
            <xdr:cNvGraphicFramePr/>
          </xdr:nvGraphicFramePr>
          <xdr:xfrm>
            <a:off x="0" y="0"/>
            <a:ext cx="0" cy="0"/>
          </xdr:xfrm>
          <a:graphic>
            <a:graphicData uri="http://schemas.microsoft.com/office/drawing/2010/slicer">
              <sle:slicer xmlns:sle="http://schemas.microsoft.com/office/drawing/2010/slicer" name="Performance Band"/>
            </a:graphicData>
          </a:graphic>
        </xdr:graphicFrame>
      </mc:Choice>
      <mc:Fallback>
        <xdr:sp macro="" textlink="">
          <xdr:nvSpPr>
            <xdr:cNvPr id="0" name=""/>
            <xdr:cNvSpPr>
              <a:spLocks noTextEdit="1"/>
            </xdr:cNvSpPr>
          </xdr:nvSpPr>
          <xdr:spPr>
            <a:xfrm>
              <a:off x="6372225" y="6724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95250</xdr:colOff>
      <xdr:row>35</xdr:row>
      <xdr:rowOff>104775</xdr:rowOff>
    </xdr:to>
    <xdr:grpSp>
      <xdr:nvGrpSpPr>
        <xdr:cNvPr id="17" name="Group 16">
          <a:extLst>
            <a:ext uri="{FF2B5EF4-FFF2-40B4-BE49-F238E27FC236}">
              <a16:creationId xmlns:a16="http://schemas.microsoft.com/office/drawing/2014/main" id="{7A70C05C-B74A-992A-03F5-6F632F712D8E}"/>
            </a:ext>
          </a:extLst>
        </xdr:cNvPr>
        <xdr:cNvGrpSpPr/>
      </xdr:nvGrpSpPr>
      <xdr:grpSpPr>
        <a:xfrm>
          <a:off x="0" y="0"/>
          <a:ext cx="11068050" cy="6772275"/>
          <a:chOff x="0" y="0"/>
          <a:chExt cx="11068050" cy="6772275"/>
        </a:xfrm>
      </xdr:grpSpPr>
      <xdr:sp macro="" textlink="">
        <xdr:nvSpPr>
          <xdr:cNvPr id="2" name="Rectangle 1">
            <a:extLst>
              <a:ext uri="{FF2B5EF4-FFF2-40B4-BE49-F238E27FC236}">
                <a16:creationId xmlns:a16="http://schemas.microsoft.com/office/drawing/2014/main" id="{A6966679-9700-ED89-B610-516B0621AFC7}"/>
              </a:ext>
            </a:extLst>
          </xdr:cNvPr>
          <xdr:cNvSpPr/>
        </xdr:nvSpPr>
        <xdr:spPr>
          <a:xfrm>
            <a:off x="0" y="0"/>
            <a:ext cx="11049000" cy="6762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F0C2671B-96EB-7BD4-0C73-9C7C8B34F30F}"/>
              </a:ext>
            </a:extLst>
          </xdr:cNvPr>
          <xdr:cNvSpPr/>
        </xdr:nvSpPr>
        <xdr:spPr>
          <a:xfrm>
            <a:off x="0" y="38100"/>
            <a:ext cx="2962275" cy="97155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bg1"/>
                </a:solidFill>
                <a:latin typeface="Times New Roman" panose="02020603050405020304" pitchFamily="18" charset="0"/>
                <a:cs typeface="Times New Roman" panose="02020603050405020304" pitchFamily="18" charset="0"/>
              </a:rPr>
              <a:t>HR</a:t>
            </a:r>
            <a:r>
              <a:rPr lang="en-US" sz="2400" b="1" baseline="0">
                <a:solidFill>
                  <a:schemeClr val="bg1"/>
                </a:solidFill>
                <a:latin typeface="Times New Roman" panose="02020603050405020304" pitchFamily="18" charset="0"/>
                <a:cs typeface="Times New Roman" panose="02020603050405020304" pitchFamily="18" charset="0"/>
              </a:rPr>
              <a:t> Analytics Dashboard</a:t>
            </a:r>
            <a:endParaRPr lang="en-US" sz="2400" b="1">
              <a:solidFill>
                <a:schemeClr val="bg1"/>
              </a:solidFill>
              <a:latin typeface="Times New Roman" panose="02020603050405020304" pitchFamily="18" charset="0"/>
              <a:cs typeface="Times New Roman" panose="02020603050405020304" pitchFamily="18" charset="0"/>
            </a:endParaRPr>
          </a:p>
        </xdr:txBody>
      </xdr:sp>
      <xdr:sp macro="" textlink="$R$14">
        <xdr:nvSpPr>
          <xdr:cNvPr id="5" name="Rectangle: Rounded Corners 4">
            <a:extLst>
              <a:ext uri="{FF2B5EF4-FFF2-40B4-BE49-F238E27FC236}">
                <a16:creationId xmlns:a16="http://schemas.microsoft.com/office/drawing/2014/main" id="{B0853197-539C-A6AD-352B-7C93FD98697C}"/>
              </a:ext>
            </a:extLst>
          </xdr:cNvPr>
          <xdr:cNvSpPr/>
        </xdr:nvSpPr>
        <xdr:spPr>
          <a:xfrm>
            <a:off x="7696200" y="19050"/>
            <a:ext cx="1438275" cy="885825"/>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chemeClr val="bg1"/>
                </a:solidFill>
                <a:latin typeface="Times New Roman" panose="02020603050405020304" pitchFamily="18" charset="0"/>
                <a:ea typeface="Calibri"/>
                <a:cs typeface="Times New Roman" panose="02020603050405020304" pitchFamily="18" charset="0"/>
              </a:rPr>
              <a:t>Total Bonus Payout </a:t>
            </a:r>
          </a:p>
          <a:p>
            <a:pPr algn="l"/>
            <a:r>
              <a:rPr lang="en-US" sz="1600" b="1" i="0" u="none" strike="noStrike">
                <a:solidFill>
                  <a:schemeClr val="bg1"/>
                </a:solidFill>
                <a:latin typeface="Times New Roman" panose="02020603050405020304" pitchFamily="18" charset="0"/>
                <a:ea typeface="Calibri"/>
                <a:cs typeface="Times New Roman" panose="02020603050405020304" pitchFamily="18" charset="0"/>
              </a:rPr>
              <a:t>  </a:t>
            </a:r>
            <a:fld id="{7314238C-A78B-4955-A135-A7E5C5752218}" type="TxLink">
              <a:rPr lang="en-US" sz="1800" b="1" i="0" u="none" strike="noStrike">
                <a:solidFill>
                  <a:schemeClr val="bg1"/>
                </a:solidFill>
                <a:latin typeface="Times New Roman" panose="02020603050405020304" pitchFamily="18" charset="0"/>
                <a:ea typeface="Calibri"/>
                <a:cs typeface="Times New Roman" panose="02020603050405020304" pitchFamily="18" charset="0"/>
              </a:rPr>
              <a:t> $505,914 </a:t>
            </a:fld>
            <a:endParaRPr lang="en-US" sz="1800" b="1">
              <a:solidFill>
                <a:schemeClr val="bg1"/>
              </a:solidFill>
              <a:latin typeface="Times New Roman" panose="02020603050405020304" pitchFamily="18" charset="0"/>
              <a:cs typeface="Times New Roman" panose="02020603050405020304" pitchFamily="18" charset="0"/>
            </a:endParaRPr>
          </a:p>
        </xdr:txBody>
      </xdr:sp>
      <xdr:sp macro="" textlink="$R$12">
        <xdr:nvSpPr>
          <xdr:cNvPr id="6" name="Rectangle: Rounded Corners 5">
            <a:extLst>
              <a:ext uri="{FF2B5EF4-FFF2-40B4-BE49-F238E27FC236}">
                <a16:creationId xmlns:a16="http://schemas.microsoft.com/office/drawing/2014/main" id="{6E71E121-333A-7247-F0AD-78490ABE0153}"/>
              </a:ext>
            </a:extLst>
          </xdr:cNvPr>
          <xdr:cNvSpPr/>
        </xdr:nvSpPr>
        <xdr:spPr>
          <a:xfrm>
            <a:off x="6184900" y="19050"/>
            <a:ext cx="1438275" cy="885825"/>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0" i="0" u="none" strike="noStrike">
                <a:solidFill>
                  <a:schemeClr val="bg1"/>
                </a:solidFill>
                <a:latin typeface="Calibri"/>
                <a:ea typeface="Calibri"/>
                <a:cs typeface="Calibri"/>
              </a:rPr>
              <a:t>Overall Attrition Rate</a:t>
            </a:r>
          </a:p>
          <a:p>
            <a:pPr algn="l"/>
            <a:r>
              <a:rPr lang="en-US" sz="1100" b="0" i="0" u="none" strike="noStrike">
                <a:solidFill>
                  <a:schemeClr val="bg1"/>
                </a:solidFill>
                <a:latin typeface="Calibri"/>
                <a:ea typeface="Calibri"/>
                <a:cs typeface="Calibri"/>
              </a:rPr>
              <a:t>       </a:t>
            </a:r>
            <a:r>
              <a:rPr lang="en-US" sz="1100" b="0" i="0" u="none" strike="noStrike" baseline="0">
                <a:solidFill>
                  <a:schemeClr val="bg1"/>
                </a:solidFill>
                <a:latin typeface="Calibri"/>
                <a:ea typeface="Calibri"/>
                <a:cs typeface="Calibri"/>
              </a:rPr>
              <a:t> </a:t>
            </a:r>
            <a:fld id="{487ACEDE-1B9E-4C7B-8D5A-732ECD2D440B}" type="TxLink">
              <a:rPr lang="en-US" sz="3200" b="1" i="0" u="none" strike="noStrike">
                <a:solidFill>
                  <a:schemeClr val="bg1"/>
                </a:solidFill>
                <a:latin typeface="Calibri"/>
                <a:ea typeface="Calibri"/>
                <a:cs typeface="Calibri"/>
              </a:rPr>
              <a:t>16%</a:t>
            </a:fld>
            <a:endParaRPr lang="en-US" sz="3200" b="1">
              <a:solidFill>
                <a:schemeClr val="bg1"/>
              </a:solidFill>
            </a:endParaRPr>
          </a:p>
        </xdr:txBody>
      </xdr:sp>
      <xdr:sp macro="" textlink="$R$8">
        <xdr:nvSpPr>
          <xdr:cNvPr id="7" name="Rectangle: Rounded Corners 6">
            <a:extLst>
              <a:ext uri="{FF2B5EF4-FFF2-40B4-BE49-F238E27FC236}">
                <a16:creationId xmlns:a16="http://schemas.microsoft.com/office/drawing/2014/main" id="{3EA50133-E540-0B25-2C4B-94038535AB3C}"/>
              </a:ext>
            </a:extLst>
          </xdr:cNvPr>
          <xdr:cNvSpPr/>
        </xdr:nvSpPr>
        <xdr:spPr>
          <a:xfrm>
            <a:off x="4673600" y="19050"/>
            <a:ext cx="1438275" cy="885825"/>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chemeClr val="bg1"/>
                </a:solidFill>
                <a:latin typeface="Times New Roman" panose="02020603050405020304" pitchFamily="18" charset="0"/>
                <a:ea typeface="Calibri"/>
                <a:cs typeface="Times New Roman" panose="02020603050405020304" pitchFamily="18" charset="0"/>
              </a:rPr>
              <a:t>   Average Salary</a:t>
            </a:r>
          </a:p>
          <a:p>
            <a:pPr algn="l"/>
            <a:fld id="{157BFB1A-CAD8-4F6A-8597-67A7CC988D27}"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t> $83,485 </a:t>
            </a:fld>
            <a:endParaRPr lang="en-US" sz="2400" b="1">
              <a:solidFill>
                <a:schemeClr val="bg1"/>
              </a:solidFill>
              <a:latin typeface="Times New Roman" panose="02020603050405020304" pitchFamily="18" charset="0"/>
              <a:cs typeface="Times New Roman" panose="02020603050405020304" pitchFamily="18" charset="0"/>
            </a:endParaRPr>
          </a:p>
        </xdr:txBody>
      </xdr:sp>
      <xdr:sp macro="" textlink="$R$10">
        <xdr:nvSpPr>
          <xdr:cNvPr id="8" name="Rectangle: Rounded Corners 7">
            <a:extLst>
              <a:ext uri="{FF2B5EF4-FFF2-40B4-BE49-F238E27FC236}">
                <a16:creationId xmlns:a16="http://schemas.microsoft.com/office/drawing/2014/main" id="{7051B421-4D96-5661-AB8D-C89F9D46CA3B}"/>
              </a:ext>
            </a:extLst>
          </xdr:cNvPr>
          <xdr:cNvSpPr/>
        </xdr:nvSpPr>
        <xdr:spPr>
          <a:xfrm>
            <a:off x="3152775" y="28575"/>
            <a:ext cx="1438275" cy="885825"/>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baseline="0">
                <a:solidFill>
                  <a:schemeClr val="bg1"/>
                </a:solidFill>
                <a:latin typeface="Times New Roman" panose="02020603050405020304" pitchFamily="18" charset="0"/>
                <a:ea typeface="Calibri"/>
                <a:cs typeface="Times New Roman" panose="02020603050405020304" pitchFamily="18" charset="0"/>
              </a:rPr>
              <a:t>   </a:t>
            </a:r>
            <a:r>
              <a:rPr lang="en-US" sz="1100" b="1" i="0" u="none" strike="noStrike">
                <a:solidFill>
                  <a:schemeClr val="bg1"/>
                </a:solidFill>
                <a:latin typeface="Times New Roman" panose="02020603050405020304" pitchFamily="18" charset="0"/>
                <a:ea typeface="Calibri"/>
                <a:cs typeface="Times New Roman" panose="02020603050405020304" pitchFamily="18" charset="0"/>
              </a:rPr>
              <a:t>Total Employee</a:t>
            </a:r>
          </a:p>
          <a:p>
            <a:pPr algn="l"/>
            <a:r>
              <a:rPr lang="en-US" sz="1100" b="1" i="0" u="none" strike="noStrike" baseline="0">
                <a:solidFill>
                  <a:schemeClr val="bg1"/>
                </a:solidFill>
                <a:latin typeface="Times New Roman" panose="02020603050405020304" pitchFamily="18" charset="0"/>
                <a:ea typeface="Calibri"/>
                <a:cs typeface="Times New Roman" panose="02020603050405020304" pitchFamily="18" charset="0"/>
              </a:rPr>
              <a:t>      </a:t>
            </a:r>
            <a:fld id="{4612D0EC-6EBE-45DA-8C09-6E03985E31A1}" type="TxLink">
              <a:rPr lang="en-US" sz="3200" b="1" i="0" u="none" strike="noStrike">
                <a:solidFill>
                  <a:schemeClr val="bg1"/>
                </a:solidFill>
                <a:latin typeface="Times New Roman" panose="02020603050405020304" pitchFamily="18" charset="0"/>
                <a:ea typeface="Calibri"/>
                <a:cs typeface="Times New Roman" panose="02020603050405020304" pitchFamily="18" charset="0"/>
              </a:rPr>
              <a:t>150</a:t>
            </a:fld>
            <a:endParaRPr lang="en-US" sz="3200" b="1">
              <a:solidFill>
                <a:schemeClr val="bg1"/>
              </a:solidFill>
              <a:latin typeface="Times New Roman" panose="02020603050405020304" pitchFamily="18" charset="0"/>
              <a:cs typeface="Times New Roman" panose="02020603050405020304" pitchFamily="18" charset="0"/>
            </a:endParaRPr>
          </a:p>
        </xdr:txBody>
      </xdr:sp>
      <xdr:graphicFrame macro="">
        <xdr:nvGraphicFramePr>
          <xdr:cNvPr id="10" name="Chart 9">
            <a:extLst>
              <a:ext uri="{FF2B5EF4-FFF2-40B4-BE49-F238E27FC236}">
                <a16:creationId xmlns:a16="http://schemas.microsoft.com/office/drawing/2014/main" id="{2039BBAB-4B3F-41B0-BC33-02AD3B4351D2}"/>
              </a:ext>
            </a:extLst>
          </xdr:cNvPr>
          <xdr:cNvGraphicFramePr>
            <a:graphicFrameLocks/>
          </xdr:cNvGraphicFramePr>
        </xdr:nvGraphicFramePr>
        <xdr:xfrm>
          <a:off x="9525" y="1133475"/>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1" name="Chart 10">
            <a:extLst>
              <a:ext uri="{FF2B5EF4-FFF2-40B4-BE49-F238E27FC236}">
                <a16:creationId xmlns:a16="http://schemas.microsoft.com/office/drawing/2014/main" id="{69A9384A-274D-43F4-95C0-7ECB669D1EE6}"/>
              </a:ext>
            </a:extLst>
          </xdr:cNvPr>
          <xdr:cNvGraphicFramePr>
            <a:graphicFrameLocks/>
          </xdr:cNvGraphicFramePr>
        </xdr:nvGraphicFramePr>
        <xdr:xfrm>
          <a:off x="4619625" y="1133475"/>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2" name="Chart 11">
            <a:extLst>
              <a:ext uri="{FF2B5EF4-FFF2-40B4-BE49-F238E27FC236}">
                <a16:creationId xmlns:a16="http://schemas.microsoft.com/office/drawing/2014/main" id="{FA2DEC05-73E1-4783-950D-3E45711A8F70}"/>
              </a:ext>
            </a:extLst>
          </xdr:cNvPr>
          <xdr:cNvGraphicFramePr>
            <a:graphicFrameLocks/>
          </xdr:cNvGraphicFramePr>
        </xdr:nvGraphicFramePr>
        <xdr:xfrm>
          <a:off x="9525" y="3990975"/>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3" name="Chart 12">
            <a:extLst>
              <a:ext uri="{FF2B5EF4-FFF2-40B4-BE49-F238E27FC236}">
                <a16:creationId xmlns:a16="http://schemas.microsoft.com/office/drawing/2014/main" id="{02AAC252-B4C9-49BE-A82D-B7CF3924FAAC}"/>
              </a:ext>
            </a:extLst>
          </xdr:cNvPr>
          <xdr:cNvGraphicFramePr>
            <a:graphicFrameLocks/>
          </xdr:cNvGraphicFramePr>
        </xdr:nvGraphicFramePr>
        <xdr:xfrm>
          <a:off x="4648200" y="4000500"/>
          <a:ext cx="4572000" cy="2743200"/>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a14="http://schemas.microsoft.com/office/drawing/2010/main" Requires="a14">
          <xdr:graphicFrame macro="">
            <xdr:nvGraphicFramePr>
              <xdr:cNvPr id="14" name="EmploymentStatus 1">
                <a:extLst>
                  <a:ext uri="{FF2B5EF4-FFF2-40B4-BE49-F238E27FC236}">
                    <a16:creationId xmlns:a16="http://schemas.microsoft.com/office/drawing/2014/main" id="{806B3CFC-A348-4DC3-9000-1ECC360988E8}"/>
                  </a:ext>
                </a:extLst>
              </xdr:cNvPr>
              <xdr:cNvGraphicFramePr/>
            </xdr:nvGraphicFramePr>
            <xdr:xfrm>
              <a:off x="9229725" y="9525"/>
              <a:ext cx="1828800" cy="2181225"/>
            </xdr:xfrm>
            <a:graphic>
              <a:graphicData uri="http://schemas.microsoft.com/office/drawing/2010/slicer">
                <sle:slicer xmlns:sle="http://schemas.microsoft.com/office/drawing/2010/slicer" name="EmploymentStatus 1"/>
              </a:graphicData>
            </a:graphic>
          </xdr:graphicFrame>
        </mc:Choice>
        <mc:Fallback>
          <xdr:sp macro="" textlink="">
            <xdr:nvSpPr>
              <xdr:cNvPr id="0" name=""/>
              <xdr:cNvSpPr>
                <a:spLocks noTextEdit="1"/>
              </xdr:cNvSpPr>
            </xdr:nvSpPr>
            <xdr:spPr>
              <a:xfrm>
                <a:off x="9229725" y="9525"/>
                <a:ext cx="1828800" cy="2181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5" name="Performance Band 1">
                <a:extLst>
                  <a:ext uri="{FF2B5EF4-FFF2-40B4-BE49-F238E27FC236}">
                    <a16:creationId xmlns:a16="http://schemas.microsoft.com/office/drawing/2014/main" id="{B891CA3A-0EE1-47E0-AC3C-C37F1E8121FD}"/>
                  </a:ext>
                </a:extLst>
              </xdr:cNvPr>
              <xdr:cNvGraphicFramePr/>
            </xdr:nvGraphicFramePr>
            <xdr:xfrm>
              <a:off x="9239250" y="2381251"/>
              <a:ext cx="1828800" cy="2076450"/>
            </xdr:xfrm>
            <a:graphic>
              <a:graphicData uri="http://schemas.microsoft.com/office/drawing/2010/slicer">
                <sle:slicer xmlns:sle="http://schemas.microsoft.com/office/drawing/2010/slicer" name="Performance Band 1"/>
              </a:graphicData>
            </a:graphic>
          </xdr:graphicFrame>
        </mc:Choice>
        <mc:Fallback>
          <xdr:sp macro="" textlink="">
            <xdr:nvSpPr>
              <xdr:cNvPr id="0" name=""/>
              <xdr:cNvSpPr>
                <a:spLocks noTextEdit="1"/>
              </xdr:cNvSpPr>
            </xdr:nvSpPr>
            <xdr:spPr>
              <a:xfrm>
                <a:off x="9239250" y="2381251"/>
                <a:ext cx="1828800" cy="2076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 name="Department Name 1">
                <a:extLst>
                  <a:ext uri="{FF2B5EF4-FFF2-40B4-BE49-F238E27FC236}">
                    <a16:creationId xmlns:a16="http://schemas.microsoft.com/office/drawing/2014/main" id="{51AC9CFA-7D2F-4C58-A709-3B87A13D171B}"/>
                  </a:ext>
                </a:extLst>
              </xdr:cNvPr>
              <xdr:cNvGraphicFramePr/>
            </xdr:nvGraphicFramePr>
            <xdr:xfrm>
              <a:off x="9229725" y="4514850"/>
              <a:ext cx="1828800" cy="2257425"/>
            </xdr:xfrm>
            <a:graphic>
              <a:graphicData uri="http://schemas.microsoft.com/office/drawing/2010/slicer">
                <sle:slicer xmlns:sle="http://schemas.microsoft.com/office/drawing/2010/slicer" name="Department Name 1"/>
              </a:graphicData>
            </a:graphic>
          </xdr:graphicFrame>
        </mc:Choice>
        <mc:Fallback>
          <xdr:sp macro="" textlink="">
            <xdr:nvSpPr>
              <xdr:cNvPr id="0" name=""/>
              <xdr:cNvSpPr>
                <a:spLocks noTextEdit="1"/>
              </xdr:cNvSpPr>
            </xdr:nvSpPr>
            <xdr:spPr>
              <a:xfrm>
                <a:off x="9229725" y="4514850"/>
                <a:ext cx="1828800" cy="2257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840 G2" refreshedDate="46209.725652199071" createdVersion="8" refreshedVersion="8" minRefreshableVersion="3" recordCount="157" xr:uid="{B33457D1-70E1-43FA-82E8-8DADBA4FD97F}">
  <cacheSource type="worksheet">
    <worksheetSource name="EmployeeData"/>
  </cacheSource>
  <cacheFields count="13">
    <cacheField name="EMP ID" numFmtId="0">
      <sharedItems containsBlank="1"/>
    </cacheField>
    <cacheField name="First_Name" numFmtId="0">
      <sharedItems containsBlank="1"/>
    </cacheField>
    <cacheField name="Last_Name" numFmtId="0">
      <sharedItems containsBlank="1"/>
    </cacheField>
    <cacheField name="Full Name" numFmtId="0">
      <sharedItems containsBlank="1"/>
    </cacheField>
    <cacheField name="DeptCode" numFmtId="0">
      <sharedItems containsBlank="1"/>
    </cacheField>
    <cacheField name="Hire Date" numFmtId="14">
      <sharedItems containsNonDate="0" containsDate="1" containsString="0" containsBlank="1" minDate="2001-09-15T00:00:00" maxDate="2028-07-18T00:00:00"/>
    </cacheField>
    <cacheField name="Salary" numFmtId="167">
      <sharedItems containsString="0" containsBlank="1" containsNumber="1" minValue="45196" maxValue="118947"/>
    </cacheField>
    <cacheField name="Perf_Score" numFmtId="0">
      <sharedItems containsString="0" containsBlank="1" containsNumber="1" containsInteger="1" minValue="30" maxValue="99"/>
    </cacheField>
    <cacheField name="EmploymentStatus" numFmtId="0">
      <sharedItems containsBlank="1" count="4">
        <s v="Active"/>
        <s v="Left"/>
        <s v="Resigned"/>
        <m/>
      </sharedItems>
    </cacheField>
    <cacheField name="Department Name" numFmtId="0">
      <sharedItems containsBlank="1" count="8">
        <s v="Information Technology"/>
        <s v="Marketing"/>
        <s v="Finance"/>
        <s v="Operations"/>
        <s v="Sales"/>
        <s v="Human Resources"/>
        <m/>
        <e v="#N/A" u="1"/>
      </sharedItems>
    </cacheField>
    <cacheField name="Year of Sevice" numFmtId="0">
      <sharedItems containsString="0" containsBlank="1" containsNumber="1" containsInteger="1" minValue="-2" maxValue="25"/>
    </cacheField>
    <cacheField name="Performance Band" numFmtId="0">
      <sharedItems containsBlank="1" count="6">
        <s v="Developing"/>
        <s v="Achieving"/>
        <s v="Needs Improvement"/>
        <s v="Exceeding"/>
        <s v="Outstanding"/>
        <m/>
      </sharedItems>
    </cacheField>
    <cacheField name="Eligible Bonus Amount" numFmtId="167">
      <sharedItems containsString="0" containsBlank="1" containsNumber="1" minValue="0" maxValue="14273.64"/>
    </cacheField>
  </cacheFields>
  <extLst>
    <ext xmlns:x14="http://schemas.microsoft.com/office/spreadsheetml/2009/9/main" uri="{725AE2AE-9491-48be-B2B4-4EB974FC3084}">
      <x14:pivotCacheDefinition pivotCacheId="13726139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
  <r>
    <s v="EMP127"/>
    <s v="Emily"/>
    <s v="Brown"/>
    <s v="Emily Brown"/>
    <s v="IT02"/>
    <d v="2017-12-24T00:00:00"/>
    <n v="50361"/>
    <n v="52"/>
    <x v="0"/>
    <x v="0"/>
    <n v="9"/>
    <x v="0"/>
    <n v="1007.22"/>
  </r>
  <r>
    <s v="EMP046"/>
    <s v="Richard"/>
    <s v="Hernandez"/>
    <s v="Richard Hernandez"/>
    <s v="MKT04"/>
    <d v="2022-04-08T00:00:00"/>
    <n v="112673"/>
    <n v="70"/>
    <x v="0"/>
    <x v="1"/>
    <n v="4"/>
    <x v="1"/>
    <n v="5633.6500000000005"/>
  </r>
  <r>
    <s v="EMP134"/>
    <s v="Emily"/>
    <s v="Gonzalez"/>
    <s v="Emily Gonzalez"/>
    <s v="IT02"/>
    <d v="2016-03-02T00:00:00"/>
    <n v="114425"/>
    <n v="54"/>
    <x v="1"/>
    <x v="0"/>
    <n v="10"/>
    <x v="0"/>
    <n v="2288.5"/>
  </r>
  <r>
    <s v="EMP139"/>
    <s v="John"/>
    <s v="Martinez"/>
    <s v="John Martinez"/>
    <s v="FIN03"/>
    <d v="2023-07-03T00:00:00"/>
    <n v="103831"/>
    <n v="70"/>
    <x v="0"/>
    <x v="2"/>
    <n v="3"/>
    <x v="1"/>
    <n v="5191.55"/>
  </r>
  <r>
    <s v="EMP112"/>
    <s v="Thomas"/>
    <s v="Smith"/>
    <s v="Thomas Smith"/>
    <s v="IT02"/>
    <d v="2023-02-20T00:00:00"/>
    <n v="73785"/>
    <n v="40"/>
    <x v="1"/>
    <x v="0"/>
    <n v="3"/>
    <x v="2"/>
    <n v="0"/>
  </r>
  <r>
    <s v="EMP030"/>
    <s v="Emily"/>
    <s v="Johnson"/>
    <s v="Emily Johnson"/>
    <s v="OPS06"/>
    <d v="2002-03-20T00:00:00"/>
    <n v="115882"/>
    <n v="49"/>
    <x v="0"/>
    <x v="3"/>
    <n v="24"/>
    <x v="2"/>
    <n v="0"/>
  </r>
  <r>
    <s v="EMP096"/>
    <s v="John"/>
    <s v="Wilson"/>
    <s v="John Wilson"/>
    <s v="OPS06"/>
    <d v="2023-12-12T00:00:00"/>
    <n v="59980"/>
    <n v="70"/>
    <x v="1"/>
    <x v="3"/>
    <n v="3"/>
    <x v="1"/>
    <n v="2999"/>
  </r>
  <r>
    <s v="EMP098"/>
    <s v="Jessica"/>
    <s v="Smith"/>
    <s v="Jessica Smith"/>
    <s v="OPS06"/>
    <d v="2020-12-09T00:00:00"/>
    <n v="68728"/>
    <n v="45"/>
    <x v="0"/>
    <x v="3"/>
    <n v="6"/>
    <x v="2"/>
    <n v="0"/>
  </r>
  <r>
    <s v="EMP095"/>
    <m/>
    <s v="Rodriguez"/>
    <s v=" Rodriguez"/>
    <s v="FIN03"/>
    <d v="2018-01-07T00:00:00"/>
    <n v="102139"/>
    <n v="79"/>
    <x v="0"/>
    <x v="2"/>
    <n v="8"/>
    <x v="1"/>
    <n v="5106.9500000000007"/>
  </r>
  <r>
    <s v="EMP140"/>
    <s v="Michael"/>
    <s v="Martinez"/>
    <s v="Michael Martinez"/>
    <s v="SAL05"/>
    <d v="2016-11-02T00:00:00"/>
    <n v="94998"/>
    <n v="58"/>
    <x v="0"/>
    <x v="4"/>
    <n v="10"/>
    <x v="0"/>
    <n v="1899.96"/>
  </r>
  <r>
    <s v="EMP020"/>
    <s v="Emily"/>
    <s v="Miller"/>
    <s v="Emily Miller"/>
    <s v="SAL05"/>
    <d v="2020-03-21T00:00:00"/>
    <n v="118635"/>
    <n v="49"/>
    <x v="0"/>
    <x v="4"/>
    <n v="6"/>
    <x v="2"/>
    <n v="0"/>
  </r>
  <r>
    <s v="EMP057"/>
    <s v="Emily"/>
    <s v="Hernandez"/>
    <s v="Emily Hernandez"/>
    <s v="IT02"/>
    <d v="2016-02-25T00:00:00"/>
    <n v="76918"/>
    <n v="62"/>
    <x v="0"/>
    <x v="0"/>
    <n v="10"/>
    <x v="0"/>
    <n v="1538.3600000000001"/>
  </r>
  <r>
    <s v="EMP016"/>
    <s v="Jane"/>
    <s v="Williams"/>
    <s v="Jane Williams"/>
    <s v="MKT04"/>
    <d v="2017-06-21T00:00:00"/>
    <n v="61408"/>
    <n v="48"/>
    <x v="0"/>
    <x v="1"/>
    <n v="9"/>
    <x v="2"/>
    <n v="0"/>
  </r>
  <r>
    <s v="EMP070"/>
    <s v="Jane"/>
    <s v="Miller"/>
    <s v="Jane Miller"/>
    <s v="MKT04"/>
    <d v="2020-06-19T00:00:00"/>
    <n v="99990"/>
    <n v="54"/>
    <x v="0"/>
    <x v="1"/>
    <n v="6"/>
    <x v="0"/>
    <n v="1999.8"/>
  </r>
  <r>
    <s v="EMP025"/>
    <s v="Robert"/>
    <s v="Jones"/>
    <s v="Robert Jones"/>
    <s v="MKT04"/>
    <d v="2019-12-21T00:00:00"/>
    <n v="80385"/>
    <n v="70"/>
    <x v="0"/>
    <x v="1"/>
    <n v="7"/>
    <x v="1"/>
    <n v="4019.25"/>
  </r>
  <r>
    <s v="EMP031"/>
    <s v="Thomas"/>
    <s v="Rodriguez"/>
    <s v="Thomas Rodriguez"/>
    <s v="SAL05"/>
    <d v="2023-08-31T00:00:00"/>
    <n v="65290"/>
    <n v="77"/>
    <x v="0"/>
    <x v="4"/>
    <n v="3"/>
    <x v="1"/>
    <n v="3264.5"/>
  </r>
  <r>
    <s v="EMP126"/>
    <s v="Emily"/>
    <s v="Davis"/>
    <s v="Emily Davis"/>
    <s v="IT02"/>
    <d v="2015-11-29T00:00:00"/>
    <n v="105765"/>
    <n v="42"/>
    <x v="0"/>
    <x v="0"/>
    <n v="11"/>
    <x v="2"/>
    <n v="0"/>
  </r>
  <r>
    <s v="EMP109"/>
    <s v="James"/>
    <s v="Martinez"/>
    <s v="James Martinez"/>
    <s v="SAL05"/>
    <d v="2017-06-13T00:00:00"/>
    <n v="102921"/>
    <n v="49"/>
    <x v="0"/>
    <x v="4"/>
    <n v="9"/>
    <x v="2"/>
    <n v="0"/>
  </r>
  <r>
    <s v="EMP066"/>
    <s v="Ashley"/>
    <s v="Lopez"/>
    <s v="Ashley Lopez"/>
    <s v="MKT04"/>
    <d v="2018-05-15T00:00:00"/>
    <n v="73984"/>
    <n v="93"/>
    <x v="0"/>
    <x v="1"/>
    <n v="8"/>
    <x v="3"/>
    <n v="5918.72"/>
  </r>
  <r>
    <s v="EMP120"/>
    <s v="Amanda"/>
    <s v="Gonzalez"/>
    <s v="Amanda Gonzalez"/>
    <s v="IT02"/>
    <d v="2016-07-24T00:00:00"/>
    <n v="82713.429999999993"/>
    <n v="75"/>
    <x v="0"/>
    <x v="0"/>
    <n v="10"/>
    <x v="1"/>
    <n v="4135.6714999999995"/>
  </r>
  <r>
    <s v="EMP019"/>
    <s v="Michael"/>
    <s v="Hernandez"/>
    <s v="Michael Hernandez"/>
    <s v="FIN03"/>
    <d v="2017-12-07T00:00:00"/>
    <n v="118527"/>
    <n v="50"/>
    <x v="0"/>
    <x v="2"/>
    <n v="9"/>
    <x v="0"/>
    <n v="2370.54"/>
  </r>
  <r>
    <s v="EMP013"/>
    <s v="Richard"/>
    <s v="Hernandez"/>
    <s v="Richard Hernandez"/>
    <s v="MKT04"/>
    <d v="2021-06-06T00:00:00"/>
    <n v="107871"/>
    <n v="88"/>
    <x v="0"/>
    <x v="1"/>
    <n v="5"/>
    <x v="3"/>
    <n v="8629.68"/>
  </r>
  <r>
    <s v="EMP010"/>
    <s v="Michael"/>
    <s v="Rodriguez"/>
    <s v="Michael Rodriguez"/>
    <s v="IT02"/>
    <d v="2022-09-11T00:00:00"/>
    <n v="93956"/>
    <n v="50"/>
    <x v="1"/>
    <x v="0"/>
    <n v="4"/>
    <x v="0"/>
    <n v="1879.1200000000001"/>
  </r>
  <r>
    <s v="EMP032"/>
    <s v="Jessica"/>
    <s v="Johnson"/>
    <s v="Jessica Johnson"/>
    <s v="FIN03"/>
    <d v="2016-07-14T00:00:00"/>
    <n v="100851"/>
    <n v="64"/>
    <x v="0"/>
    <x v="2"/>
    <n v="10"/>
    <x v="0"/>
    <n v="2017.02"/>
  </r>
  <r>
    <s v="EMP082"/>
    <s v="Ashley"/>
    <s v="Williams"/>
    <s v="Ashley Williams"/>
    <s v="SAL05"/>
    <d v="2022-06-16T00:00:00"/>
    <n v="68655"/>
    <n v="32"/>
    <x v="0"/>
    <x v="4"/>
    <n v="4"/>
    <x v="2"/>
    <n v="0"/>
  </r>
  <r>
    <s v="EMP052"/>
    <m/>
    <s v="Williams"/>
    <s v=" Williams"/>
    <s v="SAL05"/>
    <d v="2023-07-27T00:00:00"/>
    <n v="81205"/>
    <n v="59"/>
    <x v="0"/>
    <x v="4"/>
    <n v="3"/>
    <x v="0"/>
    <n v="1624.1000000000001"/>
  </r>
  <r>
    <s v="EMP129"/>
    <s v="John"/>
    <s v="Wilson"/>
    <s v="John Wilson"/>
    <s v="SAL05"/>
    <d v="2019-09-24T00:00:00"/>
    <n v="77610"/>
    <n v="88"/>
    <x v="0"/>
    <x v="4"/>
    <n v="7"/>
    <x v="3"/>
    <n v="6208.8"/>
  </r>
  <r>
    <s v="EMP146"/>
    <s v="Thomas"/>
    <s v="Rodriguez"/>
    <s v="Thomas Rodriguez"/>
    <s v="IT02"/>
    <d v="2022-07-23T00:00:00"/>
    <n v="50873"/>
    <n v="90"/>
    <x v="0"/>
    <x v="0"/>
    <n v="4"/>
    <x v="3"/>
    <n v="4069.84"/>
  </r>
  <r>
    <s v="EMP099"/>
    <s v="Michael"/>
    <s v="Wilson"/>
    <s v="Michael Wilson"/>
    <s v="FIN03"/>
    <d v="2013-05-18T00:00:00"/>
    <n v="85312"/>
    <n v="66"/>
    <x v="0"/>
    <x v="2"/>
    <n v="13"/>
    <x v="0"/>
    <n v="1706.24"/>
  </r>
  <r>
    <s v="EMP015"/>
    <s v="John"/>
    <s v="Rodriguez"/>
    <s v="John Rodriguez"/>
    <s v="SAL05"/>
    <d v="2015-07-17T00:00:00"/>
    <n v="82713.429999999993"/>
    <n v="68"/>
    <x v="0"/>
    <x v="4"/>
    <n v="11"/>
    <x v="0"/>
    <n v="1654.2685999999999"/>
  </r>
  <r>
    <s v="EMP076"/>
    <s v="Thomas"/>
    <s v="Hernandez"/>
    <s v="Thomas Hernandez"/>
    <s v="OPS06"/>
    <d v="2005-08-15T00:00:00"/>
    <n v="97055"/>
    <n v="80"/>
    <x v="0"/>
    <x v="3"/>
    <n v="21"/>
    <x v="1"/>
    <n v="4852.75"/>
  </r>
  <r>
    <s v="EMP137"/>
    <s v="Michael"/>
    <s v="Johnson"/>
    <s v="Michael Johnson"/>
    <s v="IT02"/>
    <d v="2023-09-26T00:00:00"/>
    <n v="66069"/>
    <n v="72"/>
    <x v="0"/>
    <x v="0"/>
    <n v="3"/>
    <x v="1"/>
    <n v="3303.4500000000003"/>
  </r>
  <r>
    <s v="EMP056"/>
    <s v="Sarah"/>
    <s v="Brown"/>
    <s v="Sarah Brown"/>
    <s v="IT02"/>
    <d v="2010-06-19T00:00:00"/>
    <n v="90157"/>
    <n v="58"/>
    <x v="0"/>
    <x v="0"/>
    <n v="16"/>
    <x v="0"/>
    <n v="1803.14"/>
  </r>
  <r>
    <s v="EMP125"/>
    <s v="Jane"/>
    <s v="Martinez"/>
    <s v="Jane Martinez"/>
    <s v="HR01"/>
    <d v="2022-01-17T00:00:00"/>
    <n v="59899"/>
    <n v="78"/>
    <x v="0"/>
    <x v="5"/>
    <n v="4"/>
    <x v="1"/>
    <n v="2994.9500000000003"/>
  </r>
  <r>
    <s v="EMP085"/>
    <s v="Emily"/>
    <s v="Jones"/>
    <s v="Emily Jones"/>
    <s v="FIN03"/>
    <d v="2003-07-17T00:00:00"/>
    <n v="113389"/>
    <n v="30"/>
    <x v="0"/>
    <x v="2"/>
    <n v="23"/>
    <x v="2"/>
    <n v="0"/>
  </r>
  <r>
    <s v="EMP106"/>
    <m/>
    <s v="Brown"/>
    <s v=" Brown"/>
    <s v="IT02"/>
    <d v="2001-09-15T00:00:00"/>
    <n v="102691"/>
    <n v="52"/>
    <x v="0"/>
    <x v="0"/>
    <n v="25"/>
    <x v="0"/>
    <n v="2053.8200000000002"/>
  </r>
  <r>
    <s v="EMP043"/>
    <s v="John"/>
    <s v="Wilson"/>
    <s v="John Wilson"/>
    <s v="OPS06"/>
    <d v="2003-08-22T00:00:00"/>
    <n v="111845"/>
    <n v="98"/>
    <x v="0"/>
    <x v="3"/>
    <n v="23"/>
    <x v="4"/>
    <n v="13421.4"/>
  </r>
  <r>
    <s v="EMP068"/>
    <s v="Melissa"/>
    <s v="Brown"/>
    <s v="Melissa Brown"/>
    <s v="SAL05"/>
    <d v="2022-06-29T00:00:00"/>
    <n v="69219"/>
    <n v="93"/>
    <x v="0"/>
    <x v="4"/>
    <n v="4"/>
    <x v="3"/>
    <n v="5537.52"/>
  </r>
  <r>
    <s v="EMP128"/>
    <s v="Michael"/>
    <s v="Smith"/>
    <s v="Michael Smith"/>
    <s v="FIN03"/>
    <d v="2020-04-28T00:00:00"/>
    <n v="82713.429999999993"/>
    <n v="80"/>
    <x v="1"/>
    <x v="2"/>
    <n v="6"/>
    <x v="1"/>
    <n v="4135.6714999999995"/>
  </r>
  <r>
    <s v="EMP027"/>
    <s v="Sarah"/>
    <s v="Miller"/>
    <s v="Sarah Miller"/>
    <s v="OPS06"/>
    <d v="2017-09-09T00:00:00"/>
    <n v="57514"/>
    <n v="70"/>
    <x v="0"/>
    <x v="3"/>
    <n v="9"/>
    <x v="1"/>
    <n v="2875.7000000000003"/>
  </r>
  <r>
    <s v="EMP136"/>
    <s v="Emily"/>
    <s v="Wilson"/>
    <s v="Emily Wilson"/>
    <s v="SAL05"/>
    <d v="2018-03-22T00:00:00"/>
    <n v="86245"/>
    <n v="71"/>
    <x v="1"/>
    <x v="4"/>
    <n v="8"/>
    <x v="1"/>
    <n v="4312.25"/>
  </r>
  <r>
    <s v="EMP079"/>
    <s v="David"/>
    <s v="Hernandez"/>
    <s v="David Hernandez"/>
    <s v="SAL05"/>
    <d v="2020-05-07T00:00:00"/>
    <n v="52407"/>
    <n v="55"/>
    <x v="0"/>
    <x v="4"/>
    <n v="6"/>
    <x v="0"/>
    <n v="1048.1400000000001"/>
  </r>
  <r>
    <s v="EMP149"/>
    <s v="James"/>
    <s v="Smith"/>
    <s v="James Smith"/>
    <s v="OPS06"/>
    <d v="2019-03-25T00:00:00"/>
    <n v="66606"/>
    <n v="93"/>
    <x v="2"/>
    <x v="3"/>
    <n v="7"/>
    <x v="3"/>
    <n v="5328.4800000000005"/>
  </r>
  <r>
    <s v="EMP037"/>
    <s v="Sarah"/>
    <s v="Williams"/>
    <s v="Sarah Williams"/>
    <s v="IT02"/>
    <d v="2019-08-09T00:00:00"/>
    <n v="81896"/>
    <n v="79"/>
    <x v="2"/>
    <x v="0"/>
    <n v="7"/>
    <x v="1"/>
    <n v="4094.8"/>
  </r>
  <r>
    <s v="EMP077"/>
    <s v="Amanda"/>
    <s v="Lopez"/>
    <s v="Amanda Lopez"/>
    <s v="SAL05"/>
    <d v="2016-07-14T00:00:00"/>
    <n v="78402"/>
    <n v="54"/>
    <x v="0"/>
    <x v="4"/>
    <n v="10"/>
    <x v="0"/>
    <n v="1568.04"/>
  </r>
  <r>
    <s v="EMP023"/>
    <s v="Thomas"/>
    <s v="Lopez"/>
    <s v="Thomas Lopez"/>
    <s v="OPS06"/>
    <d v="2016-10-04T00:00:00"/>
    <n v="105498"/>
    <n v="76"/>
    <x v="0"/>
    <x v="3"/>
    <n v="10"/>
    <x v="1"/>
    <n v="5274.9000000000005"/>
  </r>
  <r>
    <s v="EMP133"/>
    <s v="Melissa"/>
    <s v="Johnson"/>
    <s v="Melissa Johnson"/>
    <s v="MKT04"/>
    <d v="2010-07-19T00:00:00"/>
    <n v="91749"/>
    <n v="72"/>
    <x v="1"/>
    <x v="1"/>
    <n v="16"/>
    <x v="1"/>
    <n v="4587.45"/>
  </r>
  <r>
    <s v="EMP141"/>
    <s v="Amanda"/>
    <s v="Johnson"/>
    <s v="Amanda Johnson"/>
    <s v="OPS06"/>
    <d v="2021-08-29T00:00:00"/>
    <n v="99935"/>
    <n v="84"/>
    <x v="2"/>
    <x v="3"/>
    <n v="5"/>
    <x v="1"/>
    <n v="4996.75"/>
  </r>
  <r>
    <s v="EMP012"/>
    <s v="John"/>
    <s v="Davis"/>
    <s v="John Davis"/>
    <s v="IT02"/>
    <d v="2017-01-26T00:00:00"/>
    <n v="83531"/>
    <n v="30"/>
    <x v="1"/>
    <x v="0"/>
    <n v="9"/>
    <x v="2"/>
    <n v="0"/>
  </r>
  <r>
    <s v="EMP080"/>
    <s v="James"/>
    <s v="Johnson"/>
    <s v="James Johnson"/>
    <s v="MKT04"/>
    <d v="2020-05-30T00:00:00"/>
    <n v="75023"/>
    <n v="70"/>
    <x v="0"/>
    <x v="1"/>
    <n v="6"/>
    <x v="1"/>
    <n v="3751.15"/>
  </r>
  <r>
    <s v="EMP069"/>
    <s v="Jane"/>
    <s v="Davis"/>
    <s v="Jane Davis"/>
    <s v="HR01"/>
    <d v="2022-02-20T00:00:00"/>
    <n v="93290"/>
    <n v="53"/>
    <x v="0"/>
    <x v="5"/>
    <n v="4"/>
    <x v="0"/>
    <n v="1865.8"/>
  </r>
  <r>
    <s v="EMP150"/>
    <s v="Richard"/>
    <s v="Davis"/>
    <s v="Richard Davis"/>
    <s v="OPS06"/>
    <d v="2016-09-15T00:00:00"/>
    <n v="115527"/>
    <n v="63"/>
    <x v="2"/>
    <x v="3"/>
    <n v="10"/>
    <x v="0"/>
    <n v="2310.54"/>
  </r>
  <r>
    <s v="EMP028"/>
    <s v="Thomas"/>
    <s v="Rodriguez"/>
    <s v="Thomas Rodriguez"/>
    <s v="FIN03"/>
    <d v="2019-10-07T00:00:00"/>
    <n v="55920"/>
    <n v="84"/>
    <x v="0"/>
    <x v="2"/>
    <n v="7"/>
    <x v="1"/>
    <n v="2796"/>
  </r>
  <r>
    <s v="EMP087"/>
    <s v="Emily"/>
    <s v="Johnson"/>
    <s v="Emily Johnson"/>
    <s v="SAL05"/>
    <d v="2018-12-30T00:00:00"/>
    <n v="80189"/>
    <n v="30"/>
    <x v="0"/>
    <x v="4"/>
    <n v="8"/>
    <x v="2"/>
    <n v="0"/>
  </r>
  <r>
    <s v="EMP119"/>
    <s v="Emily"/>
    <s v="Garcia"/>
    <s v="Emily Garcia"/>
    <s v="HR01"/>
    <d v="2020-12-24T00:00:00"/>
    <n v="118947"/>
    <n v="96"/>
    <x v="0"/>
    <x v="5"/>
    <n v="6"/>
    <x v="4"/>
    <n v="14273.64"/>
  </r>
  <r>
    <s v="EMP042"/>
    <s v="Jane"/>
    <s v="Anderson"/>
    <s v="Jane Anderson"/>
    <s v="IT02"/>
    <d v="2023-07-05T00:00:00"/>
    <n v="82713.429999999993"/>
    <n v="54"/>
    <x v="0"/>
    <x v="0"/>
    <n v="3"/>
    <x v="0"/>
    <n v="1654.2685999999999"/>
  </r>
  <r>
    <s v="EMP005"/>
    <s v="Thomas"/>
    <s v="Garcia"/>
    <s v="Thomas Garcia"/>
    <s v="OPS06"/>
    <d v="2020-11-13T00:00:00"/>
    <n v="82713.429999999993"/>
    <n v="75"/>
    <x v="0"/>
    <x v="3"/>
    <n v="6"/>
    <x v="1"/>
    <n v="4135.6714999999995"/>
  </r>
  <r>
    <s v="EMP033"/>
    <s v="David"/>
    <s v="Martinez"/>
    <s v="David Martinez"/>
    <s v="HR01"/>
    <d v="2018-02-07T00:00:00"/>
    <n v="91655"/>
    <n v="95"/>
    <x v="0"/>
    <x v="5"/>
    <n v="8"/>
    <x v="4"/>
    <n v="10998.6"/>
  </r>
  <r>
    <s v="EMP061"/>
    <s v="Emily"/>
    <s v="Brown"/>
    <s v="Emily Brown"/>
    <s v="IT02"/>
    <d v="2023-11-25T00:00:00"/>
    <n v="49435"/>
    <n v="70"/>
    <x v="1"/>
    <x v="0"/>
    <n v="3"/>
    <x v="1"/>
    <n v="2471.75"/>
  </r>
  <r>
    <s v="EMP102"/>
    <s v="Emily"/>
    <s v="Wilson"/>
    <s v="Emily Wilson"/>
    <s v="SAL05"/>
    <d v="2023-10-18T00:00:00"/>
    <n v="110381"/>
    <n v="93"/>
    <x v="0"/>
    <x v="4"/>
    <n v="3"/>
    <x v="3"/>
    <n v="8830.48"/>
  </r>
  <r>
    <s v="EMP067"/>
    <s v="Michael"/>
    <s v="Anderson"/>
    <s v="Michael Anderson"/>
    <s v="HR01"/>
    <d v="2020-09-05T00:00:00"/>
    <n v="114748"/>
    <n v="33"/>
    <x v="0"/>
    <x v="5"/>
    <n v="6"/>
    <x v="2"/>
    <n v="0"/>
  </r>
  <r>
    <s v="EMP017"/>
    <s v="Robert"/>
    <s v="Johnson"/>
    <s v="Robert Johnson"/>
    <s v="OPS06"/>
    <d v="2017-03-06T00:00:00"/>
    <n v="63302"/>
    <n v="91"/>
    <x v="0"/>
    <x v="3"/>
    <n v="9"/>
    <x v="3"/>
    <n v="5064.16"/>
  </r>
  <r>
    <s v="EMP123"/>
    <s v="Robert"/>
    <s v="Miller"/>
    <s v="Robert Miller"/>
    <s v="IT02"/>
    <d v="2015-04-28T00:00:00"/>
    <n v="75519"/>
    <n v="64"/>
    <x v="0"/>
    <x v="0"/>
    <n v="11"/>
    <x v="0"/>
    <n v="1510.38"/>
  </r>
  <r>
    <s v="EMP011"/>
    <s v="Jane"/>
    <s v="Davis"/>
    <s v="Jane Davis"/>
    <s v="FIN03"/>
    <d v="2017-04-13T00:00:00"/>
    <n v="103891"/>
    <n v="80"/>
    <x v="0"/>
    <x v="2"/>
    <n v="9"/>
    <x v="1"/>
    <n v="5194.55"/>
  </r>
  <r>
    <s v="EMP091"/>
    <s v="Thomas"/>
    <s v="Davis"/>
    <s v="Thomas Davis"/>
    <s v="OPS06"/>
    <d v="2022-09-23T00:00:00"/>
    <n v="82713.429999999993"/>
    <n v="46"/>
    <x v="1"/>
    <x v="3"/>
    <n v="4"/>
    <x v="2"/>
    <n v="0"/>
  </r>
  <r>
    <s v="EMP145"/>
    <s v="Thomas"/>
    <s v="Jones"/>
    <s v="Thomas Jones"/>
    <s v="MKT04"/>
    <d v="2016-11-11T00:00:00"/>
    <n v="50936"/>
    <n v="99"/>
    <x v="0"/>
    <x v="1"/>
    <n v="10"/>
    <x v="4"/>
    <n v="6112.32"/>
  </r>
  <r>
    <s v="EMP001"/>
    <s v="Michael"/>
    <s v="Miller"/>
    <s v="Michael Miller"/>
    <s v="SAL05"/>
    <d v="2024-03-17T00:00:00"/>
    <n v="111240"/>
    <n v="70"/>
    <x v="0"/>
    <x v="4"/>
    <n v="2"/>
    <x v="1"/>
    <n v="5562"/>
  </r>
  <r>
    <s v="EMP113"/>
    <s v="Richard"/>
    <s v="Gonzalez"/>
    <s v="Richard Gonzalez"/>
    <s v="HR01"/>
    <d v="2005-05-19T00:00:00"/>
    <n v="51567"/>
    <n v="87"/>
    <x v="2"/>
    <x v="5"/>
    <n v="21"/>
    <x v="3"/>
    <n v="4125.3599999999997"/>
  </r>
  <r>
    <s v="EMP065"/>
    <s v="Melissa"/>
    <s v="Williams"/>
    <s v="Melissa Williams"/>
    <s v="HR01"/>
    <d v="2021-07-25T00:00:00"/>
    <n v="82713.429999999993"/>
    <n v="36"/>
    <x v="0"/>
    <x v="5"/>
    <n v="5"/>
    <x v="2"/>
    <n v="0"/>
  </r>
  <r>
    <s v="EMP045"/>
    <s v="Robert"/>
    <s v="Miller"/>
    <s v="Robert Miller"/>
    <s v="HR01"/>
    <d v="2017-09-30T00:00:00"/>
    <n v="55270"/>
    <n v="87"/>
    <x v="0"/>
    <x v="5"/>
    <n v="9"/>
    <x v="3"/>
    <n v="4421.6000000000004"/>
  </r>
  <r>
    <s v="EMP083"/>
    <s v="William"/>
    <s v="Garcia"/>
    <s v="William Garcia"/>
    <s v="SAL05"/>
    <d v="2015-07-07T00:00:00"/>
    <n v="65235"/>
    <n v="97"/>
    <x v="0"/>
    <x v="4"/>
    <n v="11"/>
    <x v="4"/>
    <n v="7828.2"/>
  </r>
  <r>
    <s v="EMP029"/>
    <s v="John"/>
    <s v="Gonzalez"/>
    <s v="John Gonzalez"/>
    <s v="SAL05"/>
    <d v="2018-07-02T00:00:00"/>
    <n v="82713.429999999993"/>
    <n v="72"/>
    <x v="1"/>
    <x v="4"/>
    <n v="8"/>
    <x v="1"/>
    <n v="4135.6714999999995"/>
  </r>
  <r>
    <s v="EMP041"/>
    <s v="James"/>
    <s v="Gonzalez"/>
    <s v="James Gonzalez"/>
    <s v="SAL05"/>
    <d v="2022-09-15T00:00:00"/>
    <n v="82713.429999999993"/>
    <n v="65"/>
    <x v="1"/>
    <x v="4"/>
    <n v="4"/>
    <x v="0"/>
    <n v="1654.2685999999999"/>
  </r>
  <r>
    <s v="EMP026"/>
    <s v="Jane"/>
    <s v="Gonzalez"/>
    <s v="Jane Gonzalez"/>
    <s v="SAL05"/>
    <d v="2015-09-02T00:00:00"/>
    <n v="82713.429999999993"/>
    <n v="67"/>
    <x v="0"/>
    <x v="4"/>
    <n v="11"/>
    <x v="0"/>
    <n v="1654.2685999999999"/>
  </r>
  <r>
    <s v="EMP024"/>
    <s v="David"/>
    <s v="Wilson"/>
    <s v="David Wilson"/>
    <s v="OPS06"/>
    <d v="2011-10-16T00:00:00"/>
    <n v="48823"/>
    <n v="34"/>
    <x v="0"/>
    <x v="3"/>
    <n v="15"/>
    <x v="2"/>
    <n v="0"/>
  </r>
  <r>
    <s v="EMP111"/>
    <s v="Jane"/>
    <s v="Gonzalez"/>
    <s v="Jane Gonzalez"/>
    <s v="FIN03"/>
    <d v="2019-04-20T00:00:00"/>
    <n v="45196"/>
    <n v="78"/>
    <x v="1"/>
    <x v="2"/>
    <n v="7"/>
    <x v="1"/>
    <n v="2259.8000000000002"/>
  </r>
  <r>
    <s v="EMP040"/>
    <s v="Jane"/>
    <s v="Rodriguez"/>
    <s v="Jane Rodriguez"/>
    <s v="IT02"/>
    <d v="2017-02-19T00:00:00"/>
    <n v="86246"/>
    <n v="61"/>
    <x v="0"/>
    <x v="0"/>
    <n v="9"/>
    <x v="0"/>
    <n v="1724.92"/>
  </r>
  <r>
    <s v="EMP086"/>
    <s v="Emily"/>
    <s v="Miller"/>
    <s v="Emily Miller"/>
    <s v="SAL05"/>
    <d v="2021-09-07T00:00:00"/>
    <n v="70359"/>
    <n v="74"/>
    <x v="1"/>
    <x v="4"/>
    <n v="5"/>
    <x v="1"/>
    <n v="3517.9500000000003"/>
  </r>
  <r>
    <s v="EMP124"/>
    <s v="Sarah"/>
    <s v="Miller"/>
    <s v="Sarah Miller"/>
    <s v="MKT04"/>
    <d v="2019-05-14T00:00:00"/>
    <n v="82713.429999999993"/>
    <n v="94"/>
    <x v="0"/>
    <x v="1"/>
    <n v="7"/>
    <x v="3"/>
    <n v="6617.0743999999995"/>
  </r>
  <r>
    <s v="EMP132"/>
    <s v="Jessica"/>
    <s v="Garcia"/>
    <s v="Jessica Garcia"/>
    <s v="OPS06"/>
    <d v="2015-11-22T00:00:00"/>
    <n v="86480"/>
    <n v="70"/>
    <x v="0"/>
    <x v="3"/>
    <n v="11"/>
    <x v="1"/>
    <n v="4324"/>
  </r>
  <r>
    <s v="EMP048"/>
    <s v="Richard"/>
    <s v="Smith"/>
    <s v="Richard Smith"/>
    <s v="HR01"/>
    <d v="2018-09-29T00:00:00"/>
    <n v="47694"/>
    <n v="75"/>
    <x v="0"/>
    <x v="5"/>
    <n v="8"/>
    <x v="1"/>
    <n v="2384.7000000000003"/>
  </r>
  <r>
    <s v="EMP114"/>
    <s v="Melissa"/>
    <s v="Wilson"/>
    <s v="Melissa Wilson"/>
    <s v="IT02"/>
    <d v="2023-09-02T00:00:00"/>
    <n v="83724"/>
    <n v="81"/>
    <x v="2"/>
    <x v="0"/>
    <n v="3"/>
    <x v="1"/>
    <n v="4186.2"/>
  </r>
  <r>
    <s v="EMP062"/>
    <s v="Thomas"/>
    <s v="Williams"/>
    <s v="Thomas Williams"/>
    <s v="FIN03"/>
    <d v="2022-07-17T00:00:00"/>
    <n v="98299"/>
    <n v="61"/>
    <x v="0"/>
    <x v="2"/>
    <n v="4"/>
    <x v="0"/>
    <n v="1965.98"/>
  </r>
  <r>
    <s v="EMP074"/>
    <s v="David"/>
    <s v="Williams"/>
    <s v="David Williams"/>
    <s v="FIN03"/>
    <d v="2007-02-21T00:00:00"/>
    <n v="82713.429999999993"/>
    <n v="68"/>
    <x v="0"/>
    <x v="2"/>
    <n v="19"/>
    <x v="0"/>
    <n v="1654.2685999999999"/>
  </r>
  <r>
    <s v="EMP034"/>
    <s v="John"/>
    <s v="Johnson"/>
    <s v="John Johnson"/>
    <s v="IT02"/>
    <d v="2023-10-04T00:00:00"/>
    <n v="52287"/>
    <n v="70"/>
    <x v="0"/>
    <x v="0"/>
    <n v="3"/>
    <x v="1"/>
    <n v="2614.3500000000004"/>
  </r>
  <r>
    <s v="EMP105"/>
    <s v="Richard"/>
    <s v="Gonzalez"/>
    <s v="Richard Gonzalez"/>
    <s v="IT02"/>
    <d v="2020-08-30T00:00:00"/>
    <n v="82633"/>
    <n v="98"/>
    <x v="0"/>
    <x v="0"/>
    <n v="6"/>
    <x v="4"/>
    <n v="9915.9599999999991"/>
  </r>
  <r>
    <s v="EMP118"/>
    <s v="Melissa"/>
    <s v="Anderson"/>
    <s v="Melissa Anderson"/>
    <s v="OPS06"/>
    <d v="2021-08-14T00:00:00"/>
    <n v="46508"/>
    <n v="34"/>
    <x v="0"/>
    <x v="3"/>
    <n v="5"/>
    <x v="2"/>
    <n v="0"/>
  </r>
  <r>
    <s v="EMP063"/>
    <s v="Emily"/>
    <s v="Gonzalez"/>
    <s v="Emily Gonzalez"/>
    <s v="HR01"/>
    <d v="2027-11-19T00:00:00"/>
    <n v="86232"/>
    <n v="93"/>
    <x v="0"/>
    <x v="5"/>
    <n v="-1"/>
    <x v="3"/>
    <n v="6898.56"/>
  </r>
  <r>
    <s v="EMP094"/>
    <s v="Jane"/>
    <s v="Davis"/>
    <s v="Jane Davis"/>
    <s v="IT02"/>
    <d v="2025-05-17T00:00:00"/>
    <n v="77545"/>
    <n v="48"/>
    <x v="0"/>
    <x v="0"/>
    <n v="1"/>
    <x v="2"/>
    <n v="0"/>
  </r>
  <r>
    <s v="EMP097"/>
    <s v="William"/>
    <s v="Gonzalez"/>
    <s v="William Gonzalez"/>
    <s v="OPS06"/>
    <d v="2018-12-02T00:00:00"/>
    <n v="68683"/>
    <n v="90"/>
    <x v="0"/>
    <x v="3"/>
    <n v="8"/>
    <x v="3"/>
    <n v="5494.64"/>
  </r>
  <r>
    <s v="EMP054"/>
    <s v="Thomas"/>
    <s v="Jones"/>
    <s v="Thomas Jones"/>
    <s v="FIN03"/>
    <d v="2019-06-23T00:00:00"/>
    <n v="83932"/>
    <n v="57"/>
    <x v="1"/>
    <x v="2"/>
    <n v="7"/>
    <x v="0"/>
    <n v="1678.64"/>
  </r>
  <r>
    <s v="EMP006"/>
    <s v="Jessica"/>
    <s v="Anderson"/>
    <s v="Jessica Anderson"/>
    <s v="HR01"/>
    <d v="2015-10-27T00:00:00"/>
    <n v="56073"/>
    <n v="79"/>
    <x v="0"/>
    <x v="5"/>
    <n v="11"/>
    <x v="1"/>
    <n v="2803.65"/>
  </r>
  <r>
    <s v="EMP110"/>
    <s v="Melissa"/>
    <s v="Johnson"/>
    <s v="Melissa Johnson"/>
    <s v="IT02"/>
    <d v="2018-06-19T00:00:00"/>
    <n v="88056"/>
    <n v="66"/>
    <x v="0"/>
    <x v="0"/>
    <n v="8"/>
    <x v="0"/>
    <n v="1761.1200000000001"/>
  </r>
  <r>
    <s v="EMP147"/>
    <s v="Thomas"/>
    <s v="Miller"/>
    <s v="Thomas Miller"/>
    <s v="OPS06"/>
    <d v="2018-01-12T00:00:00"/>
    <n v="67414"/>
    <n v="84"/>
    <x v="1"/>
    <x v="3"/>
    <n v="8"/>
    <x v="1"/>
    <n v="3370.7000000000003"/>
  </r>
  <r>
    <s v="EMP050"/>
    <s v="William"/>
    <s v="Gonzalez"/>
    <s v="William Gonzalez"/>
    <s v="SAL05"/>
    <d v="2015-01-04T00:00:00"/>
    <n v="115288"/>
    <n v="61"/>
    <x v="0"/>
    <x v="4"/>
    <n v="11"/>
    <x v="0"/>
    <n v="2305.7600000000002"/>
  </r>
  <r>
    <s v="EMP036"/>
    <m/>
    <s v="Smith"/>
    <s v=" Smith"/>
    <s v="SAL05"/>
    <d v="2018-12-05T00:00:00"/>
    <n v="80140"/>
    <n v="58"/>
    <x v="0"/>
    <x v="4"/>
    <n v="8"/>
    <x v="0"/>
    <n v="1602.8"/>
  </r>
  <r>
    <s v="EMP081"/>
    <s v="John"/>
    <s v="Johnson"/>
    <s v="John Johnson"/>
    <s v="IT02"/>
    <d v="2021-10-13T00:00:00"/>
    <n v="73087"/>
    <n v="69"/>
    <x v="0"/>
    <x v="0"/>
    <n v="5"/>
    <x v="0"/>
    <n v="1461.74"/>
  </r>
  <r>
    <s v="EMP078"/>
    <s v="Jane"/>
    <s v="Johnson"/>
    <s v="Jane Johnson"/>
    <s v="SAL05"/>
    <d v="2020-09-07T00:00:00"/>
    <n v="95292"/>
    <n v="34"/>
    <x v="0"/>
    <x v="4"/>
    <n v="6"/>
    <x v="2"/>
    <n v="0"/>
  </r>
  <r>
    <s v="EMP035"/>
    <s v="John"/>
    <s v="Jones"/>
    <s v="John Jones"/>
    <s v="IT02"/>
    <d v="2019-03-08T00:00:00"/>
    <n v="82713.429999999993"/>
    <n v="33"/>
    <x v="0"/>
    <x v="0"/>
    <n v="7"/>
    <x v="2"/>
    <n v="0"/>
  </r>
  <r>
    <s v="EMP047"/>
    <s v="Jane"/>
    <s v="Lopez"/>
    <s v="Jane Lopez"/>
    <s v="MKT04"/>
    <d v="2011-03-15T00:00:00"/>
    <n v="101750"/>
    <n v="84"/>
    <x v="1"/>
    <x v="1"/>
    <n v="15"/>
    <x v="1"/>
    <n v="5087.5"/>
  </r>
  <r>
    <s v="EMP008"/>
    <s v="Melissa"/>
    <s v="Gonzalez"/>
    <s v="Melissa Gonzalez"/>
    <s v="MKT04"/>
    <d v="2019-02-17T00:00:00"/>
    <n v="82992"/>
    <n v="79"/>
    <x v="0"/>
    <x v="1"/>
    <n v="7"/>
    <x v="1"/>
    <n v="4149.6000000000004"/>
  </r>
  <r>
    <s v="EMP044"/>
    <s v="William"/>
    <s v="Davis"/>
    <s v="William Davis"/>
    <s v="IT02"/>
    <d v="2023-05-09T00:00:00"/>
    <n v="49942"/>
    <n v="51"/>
    <x v="0"/>
    <x v="0"/>
    <n v="3"/>
    <x v="0"/>
    <n v="998.84"/>
  </r>
  <r>
    <s v="EMP071"/>
    <s v="John"/>
    <s v="Smith"/>
    <s v="John Smith"/>
    <s v="OPS06"/>
    <d v="2018-01-22T00:00:00"/>
    <n v="89060"/>
    <n v="58"/>
    <x v="0"/>
    <x v="3"/>
    <n v="8"/>
    <x v="0"/>
    <n v="1781.2"/>
  </r>
  <r>
    <s v="EMP115"/>
    <s v="James"/>
    <s v="Gonzalez"/>
    <s v="James Gonzalez"/>
    <s v="IT02"/>
    <d v="2020-02-18T00:00:00"/>
    <n v="53786"/>
    <n v="98"/>
    <x v="0"/>
    <x v="0"/>
    <n v="6"/>
    <x v="4"/>
    <n v="6454.32"/>
  </r>
  <r>
    <s v="EMP092"/>
    <s v="Emily"/>
    <s v="Johnson"/>
    <s v="Emily Johnson"/>
    <s v="OPS06"/>
    <d v="2016-05-22T00:00:00"/>
    <n v="81167"/>
    <n v="70"/>
    <x v="0"/>
    <x v="3"/>
    <n v="10"/>
    <x v="1"/>
    <n v="4058.3500000000004"/>
  </r>
  <r>
    <s v="EMP084"/>
    <s v="William"/>
    <s v="Williams"/>
    <s v="William Williams"/>
    <s v="MKT04"/>
    <d v="2021-06-02T00:00:00"/>
    <n v="66688"/>
    <n v="40"/>
    <x v="1"/>
    <x v="1"/>
    <n v="5"/>
    <x v="2"/>
    <n v="0"/>
  </r>
  <r>
    <s v="EMP142"/>
    <s v="James"/>
    <s v="Jones"/>
    <s v="James Jones"/>
    <s v="IT02"/>
    <d v="2021-07-17T00:00:00"/>
    <n v="91672"/>
    <n v="88"/>
    <x v="0"/>
    <x v="0"/>
    <n v="5"/>
    <x v="3"/>
    <n v="7333.76"/>
  </r>
  <r>
    <s v="EMP143"/>
    <s v="Jessica"/>
    <s v="Gonzalez"/>
    <s v="Jessica Gonzalez"/>
    <s v="HR01"/>
    <d v="2013-11-16T00:00:00"/>
    <n v="77737"/>
    <n v="77"/>
    <x v="0"/>
    <x v="5"/>
    <n v="13"/>
    <x v="1"/>
    <n v="3886.8500000000004"/>
  </r>
  <r>
    <s v="EMP090"/>
    <s v="Sarah"/>
    <s v="Miller"/>
    <s v="Sarah Miller"/>
    <s v="SAL05"/>
    <d v="2019-02-17T00:00:00"/>
    <n v="95686"/>
    <n v="91"/>
    <x v="0"/>
    <x v="4"/>
    <n v="7"/>
    <x v="3"/>
    <n v="7654.88"/>
  </r>
  <r>
    <s v="EMP009"/>
    <s v="Jessica"/>
    <s v="Smith"/>
    <s v="Jessica Smith"/>
    <s v="SAL05"/>
    <d v="2016-09-12T00:00:00"/>
    <n v="114681"/>
    <n v="36"/>
    <x v="0"/>
    <x v="4"/>
    <n v="10"/>
    <x v="2"/>
    <n v="0"/>
  </r>
  <r>
    <s v="EMP014"/>
    <s v="Thomas"/>
    <s v="Jones"/>
    <s v="Thomas Jones"/>
    <s v="OPS06"/>
    <d v="2013-08-21T00:00:00"/>
    <n v="109121"/>
    <n v="72"/>
    <x v="0"/>
    <x v="3"/>
    <n v="13"/>
    <x v="1"/>
    <n v="5456.05"/>
  </r>
  <r>
    <s v="EMP060"/>
    <s v="Amanda"/>
    <s v="Brown"/>
    <s v="Amanda Brown"/>
    <s v="MKT04"/>
    <d v="2020-06-14T00:00:00"/>
    <n v="112791"/>
    <n v="87"/>
    <x v="0"/>
    <x v="1"/>
    <n v="6"/>
    <x v="3"/>
    <n v="9023.2800000000007"/>
  </r>
  <r>
    <s v="EMP135"/>
    <s v="Robert"/>
    <s v="Martinez"/>
    <s v="Robert Martinez"/>
    <s v="IT02"/>
    <d v="2005-07-22T00:00:00"/>
    <n v="118008"/>
    <n v="71"/>
    <x v="0"/>
    <x v="0"/>
    <n v="21"/>
    <x v="1"/>
    <n v="5900.4000000000005"/>
  </r>
  <r>
    <s v="EMP004"/>
    <s v="Thomas"/>
    <s v="Miller"/>
    <s v="Thomas Miller"/>
    <s v="IT02"/>
    <d v="2016-07-10T00:00:00"/>
    <n v="74370"/>
    <n v="82"/>
    <x v="0"/>
    <x v="0"/>
    <n v="10"/>
    <x v="1"/>
    <n v="3718.5"/>
  </r>
  <r>
    <s v="EMP018"/>
    <s v="David"/>
    <s v="Rodriguez"/>
    <s v="David Rodriguez"/>
    <s v="IT02"/>
    <d v="2022-04-23T00:00:00"/>
    <n v="77819"/>
    <n v="79"/>
    <x v="0"/>
    <x v="0"/>
    <n v="4"/>
    <x v="1"/>
    <n v="3890.9500000000003"/>
  </r>
  <r>
    <s v="EMP039"/>
    <s v="Jane"/>
    <s v="Miller"/>
    <s v="Jane Miller"/>
    <s v="MKT04"/>
    <d v="2017-05-10T00:00:00"/>
    <n v="48748"/>
    <n v="83"/>
    <x v="0"/>
    <x v="1"/>
    <n v="9"/>
    <x v="1"/>
    <n v="2437.4"/>
  </r>
  <r>
    <s v="EMP073"/>
    <s v="James"/>
    <s v="Rodriguez"/>
    <s v="James Rodriguez"/>
    <s v="OPS06"/>
    <d v="2020-05-20T00:00:00"/>
    <n v="101997"/>
    <n v="38"/>
    <x v="2"/>
    <x v="3"/>
    <n v="6"/>
    <x v="2"/>
    <n v="0"/>
  </r>
  <r>
    <s v="EMP138"/>
    <s v="Sarah"/>
    <s v="Rodriguez"/>
    <s v="Sarah Rodriguez"/>
    <s v="HR01"/>
    <d v="2023-04-20T00:00:00"/>
    <n v="115260"/>
    <n v="77"/>
    <x v="0"/>
    <x v="5"/>
    <n v="3"/>
    <x v="1"/>
    <n v="5763"/>
  </r>
  <r>
    <s v="EMP007"/>
    <s v="Sarah"/>
    <s v="Wilson"/>
    <s v="Sarah Wilson"/>
    <s v="SAL05"/>
    <d v="2021-10-31T00:00:00"/>
    <n v="82713.429999999993"/>
    <n v="49"/>
    <x v="0"/>
    <x v="4"/>
    <n v="5"/>
    <x v="2"/>
    <n v="0"/>
  </r>
  <r>
    <s v="EMP144"/>
    <s v="Melissa"/>
    <s v="Brown"/>
    <s v="Melissa Brown"/>
    <s v="IT02"/>
    <d v="2024-10-21T00:00:00"/>
    <n v="82713.429999999993"/>
    <n v="69"/>
    <x v="1"/>
    <x v="0"/>
    <n v="2"/>
    <x v="0"/>
    <n v="1654.2685999999999"/>
  </r>
  <r>
    <s v="EMP101"/>
    <s v="Robert"/>
    <s v="Williams"/>
    <s v="Robert Williams"/>
    <s v="SAL05"/>
    <d v="2017-08-09T00:00:00"/>
    <n v="82713.429999999993"/>
    <n v="76"/>
    <x v="0"/>
    <x v="4"/>
    <n v="9"/>
    <x v="1"/>
    <n v="4135.6714999999995"/>
  </r>
  <r>
    <s v="EMP003"/>
    <s v="Melissa"/>
    <s v="Rodriguez"/>
    <s v="Melissa Rodriguez"/>
    <s v="OPS06"/>
    <d v="2023-01-04T00:00:00"/>
    <n v="60623"/>
    <n v="78"/>
    <x v="0"/>
    <x v="3"/>
    <n v="3"/>
    <x v="1"/>
    <n v="3031.15"/>
  </r>
  <r>
    <s v="EMP121"/>
    <s v="James"/>
    <s v="Johnson"/>
    <s v="James Johnson"/>
    <s v="HR01"/>
    <d v="2010-08-20T00:00:00"/>
    <n v="68092"/>
    <n v="93"/>
    <x v="0"/>
    <x v="5"/>
    <n v="16"/>
    <x v="3"/>
    <n v="5447.36"/>
  </r>
  <r>
    <s v="EMP064"/>
    <s v="Michael"/>
    <s v="Wilson"/>
    <s v="Michael Wilson"/>
    <s v="MKT04"/>
    <d v="2022-04-02T00:00:00"/>
    <n v="88155"/>
    <n v="68"/>
    <x v="0"/>
    <x v="1"/>
    <n v="4"/>
    <x v="0"/>
    <n v="1763.1000000000001"/>
  </r>
  <r>
    <s v="EMP116"/>
    <s v="William"/>
    <s v="Jones"/>
    <s v="William Jones"/>
    <s v="MKT04"/>
    <d v="2024-03-18T00:00:00"/>
    <n v="107903"/>
    <n v="42"/>
    <x v="0"/>
    <x v="1"/>
    <n v="2"/>
    <x v="2"/>
    <n v="0"/>
  </r>
  <r>
    <s v="EMP055"/>
    <s v="William"/>
    <s v="Williams"/>
    <s v="William Williams"/>
    <s v="IT02"/>
    <d v="2018-07-24T00:00:00"/>
    <n v="62818"/>
    <n v="34"/>
    <x v="0"/>
    <x v="0"/>
    <n v="8"/>
    <x v="2"/>
    <n v="0"/>
  </r>
  <r>
    <s v="EMP108"/>
    <s v="David"/>
    <s v="Williams"/>
    <s v="David Williams"/>
    <s v="HR01"/>
    <d v="2018-07-20T00:00:00"/>
    <n v="85151"/>
    <n v="35"/>
    <x v="0"/>
    <x v="5"/>
    <n v="8"/>
    <x v="2"/>
    <n v="0"/>
  </r>
  <r>
    <s v="EMP051"/>
    <s v="Jane"/>
    <s v="Davis"/>
    <s v="Jane Davis"/>
    <s v="FIN03"/>
    <d v="2004-03-16T00:00:00"/>
    <n v="46390"/>
    <n v="95"/>
    <x v="0"/>
    <x v="2"/>
    <n v="22"/>
    <x v="4"/>
    <n v="5566.8"/>
  </r>
  <r>
    <s v="EMP059"/>
    <s v="John"/>
    <s v="Martinez"/>
    <s v="John Martinez"/>
    <s v="HR01"/>
    <d v="2022-03-23T00:00:00"/>
    <n v="111920"/>
    <n v="90"/>
    <x v="1"/>
    <x v="5"/>
    <n v="4"/>
    <x v="3"/>
    <n v="8953.6"/>
  </r>
  <r>
    <s v="EMP049"/>
    <s v="David"/>
    <s v="Anderson"/>
    <s v="David Anderson"/>
    <s v="HR01"/>
    <d v="2028-07-17T00:00:00"/>
    <n v="115618"/>
    <n v="42"/>
    <x v="0"/>
    <x v="5"/>
    <n v="-2"/>
    <x v="2"/>
    <n v="0"/>
  </r>
  <r>
    <s v="EMP089"/>
    <s v="Sarah"/>
    <s v="Smith"/>
    <s v="Sarah Smith"/>
    <s v="SAL05"/>
    <d v="2023-05-11T00:00:00"/>
    <n v="110618"/>
    <n v="88"/>
    <x v="2"/>
    <x v="4"/>
    <n v="3"/>
    <x v="3"/>
    <n v="8849.44"/>
  </r>
  <r>
    <s v="EMP022"/>
    <s v="Melissa"/>
    <s v="Hernandez"/>
    <s v="Melissa Hernandez"/>
    <s v="OPS06"/>
    <d v="2019-03-22T00:00:00"/>
    <n v="108395"/>
    <n v="78"/>
    <x v="1"/>
    <x v="3"/>
    <n v="7"/>
    <x v="1"/>
    <n v="5419.75"/>
  </r>
  <r>
    <s v="EMP058"/>
    <s v="Melissa"/>
    <s v="Johnson"/>
    <s v="Melissa Johnson"/>
    <s v="FIN03"/>
    <d v="2017-12-22T00:00:00"/>
    <n v="88005"/>
    <n v="69"/>
    <x v="0"/>
    <x v="2"/>
    <n v="9"/>
    <x v="0"/>
    <n v="1760.1000000000001"/>
  </r>
  <r>
    <s v="EMP130"/>
    <s v="Jane"/>
    <s v="Garcia"/>
    <s v="Jane Garcia"/>
    <s v="MKT04"/>
    <d v="2021-08-29T00:00:00"/>
    <n v="83007"/>
    <n v="82"/>
    <x v="0"/>
    <x v="1"/>
    <n v="5"/>
    <x v="1"/>
    <n v="4150.3500000000004"/>
  </r>
  <r>
    <s v="EMP038"/>
    <s v="David"/>
    <s v="Davis"/>
    <s v="David Davis"/>
    <s v="IT02"/>
    <d v="2018-09-17T00:00:00"/>
    <n v="61547"/>
    <n v="68"/>
    <x v="0"/>
    <x v="0"/>
    <n v="8"/>
    <x v="0"/>
    <n v="1230.94"/>
  </r>
  <r>
    <s v="EMP148"/>
    <s v="James"/>
    <s v="Wilson"/>
    <s v="James Wilson"/>
    <s v="SAL05"/>
    <d v="2021-06-28T00:00:00"/>
    <n v="82713.429999999993"/>
    <n v="52"/>
    <x v="0"/>
    <x v="4"/>
    <n v="5"/>
    <x v="0"/>
    <n v="1654.2685999999999"/>
  </r>
  <r>
    <s v="EMP002"/>
    <s v="Richard"/>
    <s v="Johnson"/>
    <s v="Richard Johnson"/>
    <s v="OPS06"/>
    <d v="2003-10-17T00:00:00"/>
    <n v="50399"/>
    <n v="92"/>
    <x v="1"/>
    <x v="3"/>
    <n v="23"/>
    <x v="3"/>
    <n v="4031.92"/>
  </r>
  <r>
    <s v="EMP053"/>
    <s v="Richard"/>
    <s v="Williams"/>
    <s v="Richard Williams"/>
    <s v="FIN03"/>
    <d v="2015-10-22T00:00:00"/>
    <n v="82713.429999999993"/>
    <n v="62"/>
    <x v="0"/>
    <x v="2"/>
    <n v="11"/>
    <x v="0"/>
    <n v="1654.2685999999999"/>
  </r>
  <r>
    <s v="EMP131"/>
    <s v="John"/>
    <s v="Hernandez"/>
    <s v="John Hernandez"/>
    <s v="OPS06"/>
    <d v="2018-06-06T00:00:00"/>
    <n v="52720"/>
    <n v="68"/>
    <x v="0"/>
    <x v="3"/>
    <n v="8"/>
    <x v="0"/>
    <n v="1054.4000000000001"/>
  </r>
  <r>
    <s v="EMP104"/>
    <s v="Sarah"/>
    <s v="Gonzalez"/>
    <s v="Sarah Gonzalez"/>
    <s v="OPS06"/>
    <d v="2017-07-16T00:00:00"/>
    <n v="65065"/>
    <n v="98"/>
    <x v="0"/>
    <x v="3"/>
    <n v="9"/>
    <x v="4"/>
    <n v="7807.7999999999993"/>
  </r>
  <r>
    <s v="EMP100"/>
    <s v="Melissa"/>
    <s v="Hernandez"/>
    <s v="Melissa Hernandez"/>
    <s v="SAL05"/>
    <d v="2015-06-20T00:00:00"/>
    <n v="82713.429999999993"/>
    <n v="94"/>
    <x v="2"/>
    <x v="4"/>
    <n v="11"/>
    <x v="3"/>
    <n v="6617.0743999999995"/>
  </r>
  <r>
    <s v="EMP117"/>
    <s v="Melissa"/>
    <s v="Hernandez"/>
    <s v="Melissa Hernandez"/>
    <s v="OPS06"/>
    <d v="2019-05-24T00:00:00"/>
    <n v="108119"/>
    <n v="57"/>
    <x v="2"/>
    <x v="3"/>
    <n v="7"/>
    <x v="0"/>
    <n v="2162.38"/>
  </r>
  <r>
    <s v="EMP088"/>
    <s v="John"/>
    <s v="Davis"/>
    <s v="John Davis"/>
    <s v="IT02"/>
    <d v="2020-02-26T00:00:00"/>
    <n v="82713.429999999993"/>
    <n v="96"/>
    <x v="0"/>
    <x v="0"/>
    <n v="6"/>
    <x v="4"/>
    <n v="9925.6115999999984"/>
  </r>
  <r>
    <s v="EMP075"/>
    <s v="Richard"/>
    <s v="Davis"/>
    <s v="Richard Davis"/>
    <s v="HR01"/>
    <d v="2023-03-06T00:00:00"/>
    <n v="106896"/>
    <n v="52"/>
    <x v="1"/>
    <x v="5"/>
    <n v="3"/>
    <x v="0"/>
    <n v="2137.92"/>
  </r>
  <r>
    <s v="EMP122"/>
    <m/>
    <s v="Jones"/>
    <s v=" Jones"/>
    <s v="IT02"/>
    <d v="2019-01-12T00:00:00"/>
    <n v="112887"/>
    <n v="59"/>
    <x v="0"/>
    <x v="0"/>
    <n v="7"/>
    <x v="0"/>
    <n v="2257.7400000000002"/>
  </r>
  <r>
    <s v="EMP021"/>
    <s v="William"/>
    <s v="Rodriguez"/>
    <s v="William Rodriguez"/>
    <s v="FIN03"/>
    <d v="2023-04-21T00:00:00"/>
    <n v="85457"/>
    <n v="79"/>
    <x v="0"/>
    <x v="2"/>
    <n v="3"/>
    <x v="1"/>
    <n v="4272.8500000000004"/>
  </r>
  <r>
    <s v="EMP072"/>
    <s v="Melissa"/>
    <s v="Miller"/>
    <s v="Melissa Miller"/>
    <s v="SAL05"/>
    <d v="2016-05-29T00:00:00"/>
    <n v="62798"/>
    <n v="30"/>
    <x v="0"/>
    <x v="4"/>
    <n v="10"/>
    <x v="2"/>
    <n v="0"/>
  </r>
  <r>
    <s v="EMP107"/>
    <s v="Emily"/>
    <s v="Martinez"/>
    <s v="Emily Martinez"/>
    <s v="OPS06"/>
    <d v="2022-05-30T00:00:00"/>
    <n v="47794"/>
    <n v="73"/>
    <x v="1"/>
    <x v="3"/>
    <n v="4"/>
    <x v="1"/>
    <n v="2389.7000000000003"/>
  </r>
  <r>
    <s v="EMP093"/>
    <s v="James"/>
    <s v="Rodriguez"/>
    <s v="James Rodriguez"/>
    <s v="MKT04"/>
    <d v="2003-11-16T00:00:00"/>
    <n v="93094"/>
    <n v="74"/>
    <x v="0"/>
    <x v="1"/>
    <n v="23"/>
    <x v="1"/>
    <n v="4654.7"/>
  </r>
  <r>
    <s v="EMP103"/>
    <s v="Amanda"/>
    <s v="Brown"/>
    <s v="Amanda Brown"/>
    <s v="IT02"/>
    <d v="2022-10-14T00:00:00"/>
    <n v="118634"/>
    <n v="91"/>
    <x v="0"/>
    <x v="0"/>
    <n v="4"/>
    <x v="3"/>
    <n v="9490.7199999999993"/>
  </r>
  <r>
    <m/>
    <m/>
    <m/>
    <m/>
    <m/>
    <m/>
    <m/>
    <m/>
    <x v="3"/>
    <x v="6"/>
    <m/>
    <x v="5"/>
    <m/>
  </r>
  <r>
    <m/>
    <m/>
    <m/>
    <m/>
    <m/>
    <m/>
    <m/>
    <m/>
    <x v="3"/>
    <x v="6"/>
    <m/>
    <x v="5"/>
    <m/>
  </r>
  <r>
    <m/>
    <m/>
    <m/>
    <m/>
    <m/>
    <m/>
    <m/>
    <m/>
    <x v="3"/>
    <x v="6"/>
    <m/>
    <x v="5"/>
    <m/>
  </r>
  <r>
    <m/>
    <m/>
    <m/>
    <m/>
    <m/>
    <m/>
    <m/>
    <m/>
    <x v="3"/>
    <x v="6"/>
    <m/>
    <x v="5"/>
    <m/>
  </r>
  <r>
    <m/>
    <m/>
    <m/>
    <m/>
    <m/>
    <m/>
    <m/>
    <m/>
    <x v="3"/>
    <x v="6"/>
    <m/>
    <x v="5"/>
    <m/>
  </r>
  <r>
    <m/>
    <m/>
    <m/>
    <m/>
    <m/>
    <m/>
    <m/>
    <m/>
    <x v="3"/>
    <x v="6"/>
    <m/>
    <x v="5"/>
    <m/>
  </r>
  <r>
    <m/>
    <m/>
    <m/>
    <m/>
    <m/>
    <m/>
    <m/>
    <m/>
    <x v="3"/>
    <x v="6"/>
    <m/>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AA61E3-3C01-4FBC-86BE-485BA3B0717C}"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B44" firstHeaderRow="1" firstDataRow="1" firstDataCol="1"/>
  <pivotFields count="13">
    <pivotField showAll="0"/>
    <pivotField showAll="0"/>
    <pivotField showAll="0"/>
    <pivotField showAll="0"/>
    <pivotField showAll="0"/>
    <pivotField showAll="0"/>
    <pivotField dataField="1" numFmtId="167" showAll="0"/>
    <pivotField showAll="0"/>
    <pivotField showAll="0">
      <items count="5">
        <item x="0"/>
        <item x="1"/>
        <item x="2"/>
        <item x="3"/>
        <item t="default"/>
      </items>
    </pivotField>
    <pivotField axis="axisRow" showAll="0">
      <items count="9">
        <item x="2"/>
        <item x="5"/>
        <item x="0"/>
        <item x="1"/>
        <item x="3"/>
        <item x="4"/>
        <item h="1" m="1" x="7"/>
        <item h="1" x="6"/>
        <item t="default"/>
      </items>
    </pivotField>
    <pivotField showAll="0"/>
    <pivotField showAll="0">
      <items count="7">
        <item x="1"/>
        <item x="0"/>
        <item x="3"/>
        <item x="2"/>
        <item x="4"/>
        <item x="5"/>
        <item t="default"/>
      </items>
    </pivotField>
    <pivotField numFmtId="167" showAll="0"/>
  </pivotFields>
  <rowFields count="1">
    <field x="9"/>
  </rowFields>
  <rowItems count="7">
    <i>
      <x/>
    </i>
    <i>
      <x v="1"/>
    </i>
    <i>
      <x v="2"/>
    </i>
    <i>
      <x v="3"/>
    </i>
    <i>
      <x v="4"/>
    </i>
    <i>
      <x v="5"/>
    </i>
    <i t="grand">
      <x/>
    </i>
  </rowItems>
  <colItems count="1">
    <i/>
  </colItems>
  <dataFields count="1">
    <dataField name="Average of Salary" fld="6" subtotal="average" baseField="0" baseItem="0" numFmtId="167"/>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A02909-F6CE-44AE-B5DA-BA9CB7F020A3}"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H19" firstHeaderRow="1" firstDataRow="1" firstDataCol="1"/>
  <pivotFields count="13">
    <pivotField showAll="0"/>
    <pivotField showAll="0"/>
    <pivotField showAll="0"/>
    <pivotField showAll="0"/>
    <pivotField showAll="0"/>
    <pivotField showAll="0"/>
    <pivotField numFmtId="167" showAll="0"/>
    <pivotField showAll="0"/>
    <pivotField dataField="1" showAll="0">
      <items count="5">
        <item x="0"/>
        <item x="1"/>
        <item x="2"/>
        <item x="3"/>
        <item t="default"/>
      </items>
    </pivotField>
    <pivotField axis="axisRow" showAll="0">
      <items count="9">
        <item x="2"/>
        <item x="5"/>
        <item x="0"/>
        <item x="1"/>
        <item x="3"/>
        <item x="4"/>
        <item h="1" m="1" x="7"/>
        <item h="1" x="6"/>
        <item t="default"/>
      </items>
    </pivotField>
    <pivotField showAll="0"/>
    <pivotField showAll="0">
      <items count="7">
        <item x="1"/>
        <item x="0"/>
        <item x="3"/>
        <item x="2"/>
        <item x="4"/>
        <item x="5"/>
        <item t="default"/>
      </items>
    </pivotField>
    <pivotField numFmtId="167" showAll="0"/>
  </pivotFields>
  <rowFields count="1">
    <field x="9"/>
  </rowFields>
  <rowItems count="7">
    <i>
      <x/>
    </i>
    <i>
      <x v="1"/>
    </i>
    <i>
      <x v="2"/>
    </i>
    <i>
      <x v="3"/>
    </i>
    <i>
      <x v="4"/>
    </i>
    <i>
      <x v="5"/>
    </i>
    <i t="grand">
      <x/>
    </i>
  </rowItems>
  <colItems count="1">
    <i/>
  </colItems>
  <dataFields count="1">
    <dataField name="Count of EmploymentStatu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17B346-52FE-4A5A-837D-D56CC84C4732}"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H9" firstHeaderRow="1" firstDataRow="1" firstDataCol="1"/>
  <pivotFields count="13">
    <pivotField dataField="1" showAll="0"/>
    <pivotField showAll="0"/>
    <pivotField showAll="0"/>
    <pivotField showAll="0"/>
    <pivotField showAll="0"/>
    <pivotField showAll="0"/>
    <pivotField numFmtId="167" showAll="0"/>
    <pivotField showAll="0"/>
    <pivotField showAll="0">
      <items count="5">
        <item x="0"/>
        <item x="1"/>
        <item x="2"/>
        <item x="3"/>
        <item t="default"/>
      </items>
    </pivotField>
    <pivotField axis="axisRow" showAll="0">
      <items count="9">
        <item x="2"/>
        <item x="5"/>
        <item x="0"/>
        <item x="1"/>
        <item x="3"/>
        <item x="4"/>
        <item h="1" m="1" x="7"/>
        <item h="1" x="6"/>
        <item t="default"/>
      </items>
    </pivotField>
    <pivotField showAll="0"/>
    <pivotField showAll="0">
      <items count="7">
        <item x="1"/>
        <item x="0"/>
        <item x="3"/>
        <item x="2"/>
        <item x="4"/>
        <item x="5"/>
        <item t="default"/>
      </items>
    </pivotField>
    <pivotField numFmtId="167" showAll="0"/>
  </pivotFields>
  <rowFields count="1">
    <field x="9"/>
  </rowFields>
  <rowItems count="7">
    <i>
      <x/>
    </i>
    <i>
      <x v="1"/>
    </i>
    <i>
      <x v="2"/>
    </i>
    <i>
      <x v="3"/>
    </i>
    <i>
      <x v="4"/>
    </i>
    <i>
      <x v="5"/>
    </i>
    <i t="grand">
      <x/>
    </i>
  </rowItems>
  <colItems count="1">
    <i/>
  </colItems>
  <dataFields count="1">
    <dataField name="Count of EMP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18CBA2-0CC9-4558-AC49-FA582C57425C}"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8:B34" firstHeaderRow="1" firstDataRow="1" firstDataCol="1"/>
  <pivotFields count="13">
    <pivotField showAll="0"/>
    <pivotField showAll="0"/>
    <pivotField showAll="0"/>
    <pivotField showAll="0"/>
    <pivotField showAll="0"/>
    <pivotField showAll="0"/>
    <pivotField numFmtId="167" showAll="0"/>
    <pivotField showAll="0"/>
    <pivotField showAll="0">
      <items count="5">
        <item x="0"/>
        <item x="1"/>
        <item x="2"/>
        <item x="3"/>
        <item t="default"/>
      </items>
    </pivotField>
    <pivotField showAll="0">
      <items count="9">
        <item x="2"/>
        <item x="5"/>
        <item x="0"/>
        <item x="1"/>
        <item x="3"/>
        <item x="4"/>
        <item h="1" m="1" x="7"/>
        <item h="1" x="6"/>
        <item t="default"/>
      </items>
    </pivotField>
    <pivotField showAll="0"/>
    <pivotField axis="axisRow" showAll="0">
      <items count="7">
        <item x="1"/>
        <item x="0"/>
        <item x="3"/>
        <item x="2"/>
        <item x="4"/>
        <item x="5"/>
        <item t="default"/>
      </items>
    </pivotField>
    <pivotField dataField="1" numFmtId="167" showAll="0"/>
  </pivotFields>
  <rowFields count="1">
    <field x="11"/>
  </rowFields>
  <rowItems count="6">
    <i>
      <x/>
    </i>
    <i>
      <x v="1"/>
    </i>
    <i>
      <x v="2"/>
    </i>
    <i>
      <x v="3"/>
    </i>
    <i>
      <x v="4"/>
    </i>
    <i t="grand">
      <x/>
    </i>
  </rowItems>
  <colItems count="1">
    <i/>
  </colItems>
  <dataFields count="1">
    <dataField name="Sum of Eligible Bonus Amount" fld="12" baseField="0" baseItem="0" numFmtId="167"/>
  </dataFields>
  <chartFormats count="12">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1" count="1" selected="0">
            <x v="0"/>
          </reference>
        </references>
      </pivotArea>
    </chartFormat>
    <chartFormat chart="2" format="9">
      <pivotArea type="data" outline="0" fieldPosition="0">
        <references count="2">
          <reference field="4294967294" count="1" selected="0">
            <x v="0"/>
          </reference>
          <reference field="11" count="1" selected="0">
            <x v="1"/>
          </reference>
        </references>
      </pivotArea>
    </chartFormat>
    <chartFormat chart="2" format="10">
      <pivotArea type="data" outline="0" fieldPosition="0">
        <references count="2">
          <reference field="4294967294" count="1" selected="0">
            <x v="0"/>
          </reference>
          <reference field="11" count="1" selected="0">
            <x v="2"/>
          </reference>
        </references>
      </pivotArea>
    </chartFormat>
    <chartFormat chart="2" format="11">
      <pivotArea type="data" outline="0" fieldPosition="0">
        <references count="2">
          <reference field="4294967294" count="1" selected="0">
            <x v="0"/>
          </reference>
          <reference field="11" count="1" selected="0">
            <x v="3"/>
          </reference>
        </references>
      </pivotArea>
    </chartFormat>
    <chartFormat chart="2" format="12">
      <pivotArea type="data" outline="0" fieldPosition="0">
        <references count="2">
          <reference field="4294967294" count="1" selected="0">
            <x v="0"/>
          </reference>
          <reference field="11" count="1" selected="0">
            <x v="4"/>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1" count="1" selected="0">
            <x v="0"/>
          </reference>
        </references>
      </pivotArea>
    </chartFormat>
    <chartFormat chart="4" format="9">
      <pivotArea type="data" outline="0" fieldPosition="0">
        <references count="2">
          <reference field="4294967294" count="1" selected="0">
            <x v="0"/>
          </reference>
          <reference field="11" count="1" selected="0">
            <x v="1"/>
          </reference>
        </references>
      </pivotArea>
    </chartFormat>
    <chartFormat chart="4" format="10">
      <pivotArea type="data" outline="0" fieldPosition="0">
        <references count="2">
          <reference field="4294967294" count="1" selected="0">
            <x v="0"/>
          </reference>
          <reference field="11" count="1" selected="0">
            <x v="2"/>
          </reference>
        </references>
      </pivotArea>
    </chartFormat>
    <chartFormat chart="4" format="11">
      <pivotArea type="data" outline="0" fieldPosition="0">
        <references count="2">
          <reference field="4294967294" count="1" selected="0">
            <x v="0"/>
          </reference>
          <reference field="11" count="1" selected="0">
            <x v="3"/>
          </reference>
        </references>
      </pivotArea>
    </chartFormat>
    <chartFormat chart="4" format="12">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C02774-18FD-4A71-A9AC-7E845B9030C6}"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4" firstHeaderRow="1" firstDataRow="1" firstDataCol="1"/>
  <pivotFields count="13">
    <pivotField showAll="0"/>
    <pivotField showAll="0"/>
    <pivotField showAll="0"/>
    <pivotField showAll="0"/>
    <pivotField showAll="0"/>
    <pivotField showAll="0"/>
    <pivotField numFmtId="167" showAll="0"/>
    <pivotField dataField="1" showAll="0"/>
    <pivotField axis="axisRow" showAll="0">
      <items count="5">
        <item x="0"/>
        <item x="1"/>
        <item x="2"/>
        <item x="3"/>
        <item t="default"/>
      </items>
    </pivotField>
    <pivotField showAll="0">
      <items count="9">
        <item x="2"/>
        <item x="5"/>
        <item x="0"/>
        <item x="1"/>
        <item x="3"/>
        <item x="4"/>
        <item h="1" m="1" x="7"/>
        <item h="1" x="6"/>
        <item t="default"/>
      </items>
    </pivotField>
    <pivotField showAll="0"/>
    <pivotField showAll="0">
      <items count="7">
        <item x="1"/>
        <item x="0"/>
        <item x="3"/>
        <item x="2"/>
        <item x="4"/>
        <item x="5"/>
        <item t="default"/>
      </items>
    </pivotField>
    <pivotField numFmtId="167" showAll="0"/>
  </pivotFields>
  <rowFields count="1">
    <field x="8"/>
  </rowFields>
  <rowItems count="4">
    <i>
      <x/>
    </i>
    <i>
      <x v="1"/>
    </i>
    <i>
      <x v="2"/>
    </i>
    <i t="grand">
      <x/>
    </i>
  </rowItems>
  <colItems count="1">
    <i/>
  </colItems>
  <dataFields count="1">
    <dataField name="Average of Perf_Score" fld="7" subtotal="average" baseField="0" baseItem="0" numFmtId="1"/>
  </dataFields>
  <formats count="2">
    <format dxfId="12">
      <pivotArea collapsedLevelsAreSubtotals="1" fieldPosition="0">
        <references count="1">
          <reference field="8" count="0"/>
        </references>
      </pivotArea>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8D30A2-620E-4533-A9C5-F855EE3CC4B7}"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1:I29" firstHeaderRow="1" firstDataRow="2" firstDataCol="1"/>
  <pivotFields count="13">
    <pivotField showAll="0"/>
    <pivotField showAll="0"/>
    <pivotField showAll="0"/>
    <pivotField showAll="0"/>
    <pivotField showAll="0"/>
    <pivotField showAll="0"/>
    <pivotField numFmtId="167" showAll="0"/>
    <pivotField showAll="0"/>
    <pivotField axis="axisCol" dataField="1" showAll="0">
      <items count="5">
        <item x="0"/>
        <item x="1"/>
        <item x="2"/>
        <item h="1" x="3"/>
        <item t="default"/>
      </items>
    </pivotField>
    <pivotField axis="axisRow" showAll="0">
      <items count="9">
        <item x="2"/>
        <item x="5"/>
        <item x="0"/>
        <item x="1"/>
        <item x="3"/>
        <item x="4"/>
        <item h="1" m="1" x="7"/>
        <item h="1" x="6"/>
        <item t="default"/>
      </items>
    </pivotField>
    <pivotField showAll="0"/>
    <pivotField showAll="0">
      <items count="7">
        <item x="1"/>
        <item x="0"/>
        <item x="3"/>
        <item x="2"/>
        <item x="4"/>
        <item x="5"/>
        <item t="default"/>
      </items>
    </pivotField>
    <pivotField numFmtId="167" showAll="0"/>
  </pivotFields>
  <rowFields count="1">
    <field x="9"/>
  </rowFields>
  <rowItems count="7">
    <i>
      <x/>
    </i>
    <i>
      <x v="1"/>
    </i>
    <i>
      <x v="2"/>
    </i>
    <i>
      <x v="3"/>
    </i>
    <i>
      <x v="4"/>
    </i>
    <i>
      <x v="5"/>
    </i>
    <i t="grand">
      <x/>
    </i>
  </rowItems>
  <colFields count="1">
    <field x="8"/>
  </colFields>
  <colItems count="4">
    <i>
      <x/>
    </i>
    <i>
      <x v="1"/>
    </i>
    <i>
      <x v="2"/>
    </i>
    <i t="grand">
      <x/>
    </i>
  </colItems>
  <dataFields count="1">
    <dataField name="Count of EmploymentStatus" fld="8" subtotal="count" baseField="0" baseItem="0"/>
  </dataFields>
  <chartFormats count="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2" format="6" series="1">
      <pivotArea type="data" outline="0" fieldPosition="0">
        <references count="2">
          <reference field="4294967294" count="1" selected="0">
            <x v="0"/>
          </reference>
          <reference field="8" count="1" selected="0">
            <x v="0"/>
          </reference>
        </references>
      </pivotArea>
    </chartFormat>
    <chartFormat chart="2" format="7" series="1">
      <pivotArea type="data" outline="0" fieldPosition="0">
        <references count="2">
          <reference field="4294967294" count="1" selected="0">
            <x v="0"/>
          </reference>
          <reference field="8" count="1" selected="0">
            <x v="1"/>
          </reference>
        </references>
      </pivotArea>
    </chartFormat>
    <chartFormat chart="2"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DE8FDC-8339-4876-8C8F-61314B8518EA}"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E16" firstHeaderRow="1" firstDataRow="2" firstDataCol="1"/>
  <pivotFields count="13">
    <pivotField showAll="0"/>
    <pivotField showAll="0"/>
    <pivotField showAll="0"/>
    <pivotField showAll="0"/>
    <pivotField showAll="0"/>
    <pivotField showAll="0"/>
    <pivotField numFmtId="167" showAll="0"/>
    <pivotField showAll="0"/>
    <pivotField axis="axisCol" dataField="1" showAll="0">
      <items count="5">
        <item x="0"/>
        <item x="1"/>
        <item x="2"/>
        <item x="3"/>
        <item t="default"/>
      </items>
    </pivotField>
    <pivotField axis="axisRow" showAll="0">
      <items count="9">
        <item x="2"/>
        <item x="5"/>
        <item x="0"/>
        <item x="1"/>
        <item x="3"/>
        <item x="4"/>
        <item h="1" m="1" x="7"/>
        <item h="1" x="6"/>
        <item t="default"/>
      </items>
    </pivotField>
    <pivotField showAll="0"/>
    <pivotField showAll="0">
      <items count="7">
        <item x="1"/>
        <item x="0"/>
        <item x="3"/>
        <item x="2"/>
        <item x="4"/>
        <item x="5"/>
        <item t="default"/>
      </items>
    </pivotField>
    <pivotField numFmtId="167" showAll="0"/>
  </pivotFields>
  <rowFields count="1">
    <field x="9"/>
  </rowFields>
  <rowItems count="7">
    <i>
      <x/>
    </i>
    <i>
      <x v="1"/>
    </i>
    <i>
      <x v="2"/>
    </i>
    <i>
      <x v="3"/>
    </i>
    <i>
      <x v="4"/>
    </i>
    <i>
      <x v="5"/>
    </i>
    <i t="grand">
      <x/>
    </i>
  </rowItems>
  <colFields count="1">
    <field x="8"/>
  </colFields>
  <colItems count="4">
    <i>
      <x/>
    </i>
    <i>
      <x v="1"/>
    </i>
    <i>
      <x v="2"/>
    </i>
    <i t="grand">
      <x/>
    </i>
  </colItems>
  <dataFields count="1">
    <dataField name="Count of EmploymentStatu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A14BCE-3C1C-4E83-93BA-0E13BB50FCF7}"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3">
    <pivotField dataField="1" showAll="0"/>
    <pivotField showAll="0"/>
    <pivotField showAll="0"/>
    <pivotField showAll="0"/>
    <pivotField showAll="0"/>
    <pivotField showAll="0"/>
    <pivotField dataField="1" numFmtId="167" showAll="0"/>
    <pivotField showAll="0"/>
    <pivotField showAll="0">
      <items count="5">
        <item x="0"/>
        <item x="1"/>
        <item x="2"/>
        <item x="3"/>
        <item t="default"/>
      </items>
    </pivotField>
    <pivotField showAll="0">
      <items count="9">
        <item x="2"/>
        <item x="5"/>
        <item x="0"/>
        <item x="1"/>
        <item x="3"/>
        <item x="4"/>
        <item h="1" m="1" x="7"/>
        <item h="1" x="6"/>
        <item t="default"/>
      </items>
    </pivotField>
    <pivotField showAll="0"/>
    <pivotField showAll="0">
      <items count="7">
        <item x="1"/>
        <item x="0"/>
        <item x="3"/>
        <item x="2"/>
        <item x="4"/>
        <item x="5"/>
        <item t="default"/>
      </items>
    </pivotField>
    <pivotField numFmtId="167" showAll="0"/>
  </pivotFields>
  <rowItems count="1">
    <i/>
  </rowItems>
  <colFields count="1">
    <field x="-2"/>
  </colFields>
  <colItems count="2">
    <i>
      <x/>
    </i>
    <i i="1">
      <x v="1"/>
    </i>
  </colItems>
  <dataFields count="2">
    <dataField name="Count of EMP ID" fld="0" subtotal="count" baseField="0" baseItem="0"/>
    <dataField name="Average of Salary" fld="6" subtotal="average" baseField="0" baseItem="0" numFmtId="178"/>
  </dataFields>
  <formats count="1">
    <format dxfId="1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Status" xr10:uid="{82E81391-A256-4A16-ADCE-4D709B65A244}" sourceName="EmploymentStatus">
  <pivotTables>
    <pivotTable tabId="4" name="PivotTable8"/>
    <pivotTable tabId="4" name="PivotTable1"/>
    <pivotTable tabId="4" name="PivotTable2"/>
    <pivotTable tabId="4" name="PivotTable4"/>
    <pivotTable tabId="4" name="PivotTable5"/>
    <pivotTable tabId="4" name="PivotTable6"/>
    <pivotTable tabId="4" name="PivotTable7"/>
  </pivotTables>
  <data>
    <tabular pivotCacheId="1372613996">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050FC18B-F185-47F9-9D24-9F5CAE6375B6}" sourceName="Department Name">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s>
  <data>
    <tabular pivotCacheId="1372613996">
      <items count="8">
        <i x="2" s="1"/>
        <i x="5" s="1"/>
        <i x="0" s="1"/>
        <i x="1" s="1"/>
        <i x="3" s="1"/>
        <i x="4" s="1"/>
        <i x="7" nd="1"/>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and" xr10:uid="{E33F7AED-1B76-4991-85EB-2350CF3EA588}" sourceName="Performance Band">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s>
  <data>
    <tabular pivotCacheId="1372613996">
      <items count="6">
        <i x="1" s="1"/>
        <i x="0" s="1"/>
        <i x="3" s="1"/>
        <i x="2"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Status" xr10:uid="{E8FD8951-A069-48CE-9140-39EF2A066C94}" cache="Slicer_EmploymentStatus" caption="EmploymentStatus" rowHeight="241300"/>
  <slicer name="Department Name" xr10:uid="{B394AB5C-7E64-4BC9-A014-7A526E300D88}" cache="Slicer_Department_Name" caption="Department Name" rowHeight="241300"/>
  <slicer name="Performance Band" xr10:uid="{1BB85A40-87A9-4BD6-AAEC-152D7B567FC3}" cache="Slicer_Performance_Band" caption="Performance Ban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Status 1" xr10:uid="{FF5FF95E-1594-430D-BBA0-022B92CB708B}" cache="Slicer_EmploymentStatus" caption="EmploymentStatus" rowHeight="241300"/>
  <slicer name="Department Name 1" xr10:uid="{12D53574-FB10-4696-8972-28F849BF5EBC}" cache="Slicer_Department_Name" caption="Department Name" rowHeight="241300"/>
  <slicer name="Performance Band 1" xr10:uid="{BC651EF7-579D-4145-B2A2-5C7212A6098E}" cache="Slicer_Performance_Band" caption="Performance Ban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2BA992-7BCB-40FC-AB49-E28D571D8429}" name="EmployeeData" displayName="EmployeeData" ref="A1:M158" totalsRowShown="0" headerRowDxfId="15">
  <autoFilter ref="A1:M158" xr:uid="{CD2BA992-7BCB-40FC-AB49-E28D571D8429}">
    <filterColumn colId="8">
      <customFilters>
        <customFilter operator="notEqual" val=" "/>
      </customFilters>
    </filterColumn>
  </autoFilter>
  <tableColumns count="13">
    <tableColumn id="1" xr3:uid="{7BFA2DDB-DA80-42AD-96EC-CEA51320E9BC}" name="EMP ID"/>
    <tableColumn id="2" xr3:uid="{12332321-DAF2-4C7D-A7A7-118C059C402A}" name="First_Name"/>
    <tableColumn id="3" xr3:uid="{4C5FE0D8-3C77-4528-964B-BE6AD9016E99}" name="Last_Name"/>
    <tableColumn id="4" xr3:uid="{664B16F7-8DB7-46D1-AD5C-D54EC2C0C4E8}" name="Full Name"/>
    <tableColumn id="5" xr3:uid="{ECABFF02-6E55-49FA-B5D1-CA1BA4A5E1A8}" name="DeptCode"/>
    <tableColumn id="6" xr3:uid="{C8C5BB50-35BA-4AEB-8783-770CCF048842}" name="Hire Date" dataDxfId="19"/>
    <tableColumn id="7" xr3:uid="{2DA9ECB8-C71D-48D8-BDC5-5A0134DC3E28}" name="Salary" dataDxfId="18"/>
    <tableColumn id="8" xr3:uid="{11A7B46F-5AEF-4900-91C6-A75AAF2532CA}" name="Perf_Score"/>
    <tableColumn id="9" xr3:uid="{CD4B954B-B1E1-4168-B1B9-787D5BB00485}" name="EmploymentStatus"/>
    <tableColumn id="10" xr3:uid="{1D67FC9A-976C-45EB-876D-43C4160BFB03}" name="Department Name">
      <calculatedColumnFormula>VLOOKUP(E2,Lookup_Departments!$A$1:$B$7,2,FALSE)</calculatedColumnFormula>
    </tableColumn>
    <tableColumn id="11" xr3:uid="{1D6CE90C-4F14-495E-BC41-C910C6003172}" name="Year of Sevice" dataDxfId="17">
      <calculatedColumnFormula>YEAR(TODAY())-YEAR(F:F)</calculatedColumnFormula>
    </tableColumn>
    <tableColumn id="12" xr3:uid="{7E58FA85-2F1D-4820-BC9D-E78581B05264}" name="Performance Band">
      <calculatedColumnFormula>VLOOKUP(H2,Lookup_Performance!$A$1:$D$6,3,TRUE)</calculatedColumnFormula>
    </tableColumn>
    <tableColumn id="13" xr3:uid="{80E6766A-D8C3-4D5A-AF2A-F2FF9BA8AEA8}" name="Eligible Bonus Amount" dataDxfId="16">
      <calculatedColumnFormula>G2*VLOOKUP(H2,Lookup_Performance!$A$1:$D$6,4,TRUE)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8"/>
  <sheetViews>
    <sheetView workbookViewId="0">
      <selection activeCell="A2" sqref="A2"/>
    </sheetView>
  </sheetViews>
  <sheetFormatPr defaultRowHeight="15" x14ac:dyDescent="0.25"/>
  <cols>
    <col min="1" max="1" width="9.42578125" customWidth="1"/>
    <col min="2" max="2" width="13.28515625" customWidth="1"/>
    <col min="3" max="3" width="12.85546875" customWidth="1"/>
    <col min="4" max="4" width="18.28515625" bestFit="1" customWidth="1"/>
    <col min="5" max="5" width="12" customWidth="1"/>
    <col min="6" max="6" width="18.28515625" style="2" bestFit="1" customWidth="1"/>
    <col min="7" max="7" width="11.140625" style="6" bestFit="1" customWidth="1"/>
    <col min="8" max="8" width="12.7109375" customWidth="1"/>
    <col min="9" max="9" width="19.85546875" customWidth="1"/>
    <col min="10" max="10" width="22.5703125" bestFit="1" customWidth="1"/>
    <col min="11" max="11" width="15.5703125" customWidth="1"/>
    <col min="12" max="12" width="19.5703125" bestFit="1" customWidth="1"/>
    <col min="13" max="13" width="23.140625" customWidth="1"/>
    <col min="15" max="15" width="10.140625" bestFit="1" customWidth="1"/>
  </cols>
  <sheetData>
    <row r="1" spans="1:15" x14ac:dyDescent="0.25">
      <c r="A1" s="4" t="s">
        <v>217</v>
      </c>
      <c r="B1" s="1" t="s">
        <v>0</v>
      </c>
      <c r="C1" s="1" t="s">
        <v>1</v>
      </c>
      <c r="D1" s="4" t="s">
        <v>211</v>
      </c>
      <c r="E1" s="1" t="s">
        <v>212</v>
      </c>
      <c r="F1" s="3" t="s">
        <v>2</v>
      </c>
      <c r="G1" s="5" t="s">
        <v>3</v>
      </c>
      <c r="H1" s="1" t="s">
        <v>4</v>
      </c>
      <c r="I1" s="1" t="s">
        <v>214</v>
      </c>
      <c r="J1" s="7" t="s">
        <v>213</v>
      </c>
      <c r="K1" s="7" t="s">
        <v>215</v>
      </c>
      <c r="L1" s="7" t="s">
        <v>216</v>
      </c>
      <c r="M1" s="7" t="s">
        <v>218</v>
      </c>
    </row>
    <row r="2" spans="1:15" x14ac:dyDescent="0.25">
      <c r="A2" t="s">
        <v>5</v>
      </c>
      <c r="B2" t="s">
        <v>6</v>
      </c>
      <c r="C2" t="s">
        <v>7</v>
      </c>
      <c r="D2" t="str">
        <f>CONCATENATE(B2," ",C2)</f>
        <v>Emily Brown</v>
      </c>
      <c r="E2" t="s">
        <v>8</v>
      </c>
      <c r="F2" s="2">
        <v>43093</v>
      </c>
      <c r="G2" s="6">
        <v>50361</v>
      </c>
      <c r="H2">
        <v>52</v>
      </c>
      <c r="I2" t="s">
        <v>35</v>
      </c>
      <c r="J2" t="str">
        <f>VLOOKUP(E2,Lookup_Departments!$A$1:$B$7,2,FALSE)</f>
        <v>Information Technology</v>
      </c>
      <c r="K2" s="8">
        <f ca="1">YEAR(TODAY())-YEAR(F:F)</f>
        <v>9</v>
      </c>
      <c r="L2" t="str">
        <f>VLOOKUP(H2,Lookup_Performance!$A$1:$D$6,3,TRUE)</f>
        <v>Developing</v>
      </c>
      <c r="M2" s="6">
        <f>G2*VLOOKUP(H2,Lookup_Performance!$A$1:$D$6,4,TRUE)</f>
        <v>1007.22</v>
      </c>
    </row>
    <row r="3" spans="1:15" x14ac:dyDescent="0.25">
      <c r="A3" t="s">
        <v>9</v>
      </c>
      <c r="B3" t="s">
        <v>10</v>
      </c>
      <c r="C3" t="s">
        <v>11</v>
      </c>
      <c r="D3" t="str">
        <f t="shared" ref="D3:D66" si="0">CONCATENATE(B3," ",C3)</f>
        <v>Richard Hernandez</v>
      </c>
      <c r="E3" t="s">
        <v>12</v>
      </c>
      <c r="F3" s="2">
        <v>44659</v>
      </c>
      <c r="G3" s="6">
        <v>112673</v>
      </c>
      <c r="H3">
        <v>70</v>
      </c>
      <c r="I3" t="s">
        <v>35</v>
      </c>
      <c r="J3" t="str">
        <f>VLOOKUP(E3,Lookup_Departments!$A$1:$B$7,2,FALSE)</f>
        <v>Marketing</v>
      </c>
      <c r="K3" s="8">
        <f t="shared" ref="K3:K66" ca="1" si="1">YEAR(TODAY())-YEAR(F:F)</f>
        <v>4</v>
      </c>
      <c r="L3" t="str">
        <f>VLOOKUP(H3,Lookup_Performance!$A$1:$D$6,3,TRUE)</f>
        <v>Achieving</v>
      </c>
      <c r="M3" s="6">
        <f>G3*VLOOKUP(H3,Lookup_Performance!$A$1:$D$6,4,TRUE)</f>
        <v>5633.6500000000005</v>
      </c>
    </row>
    <row r="4" spans="1:15" x14ac:dyDescent="0.25">
      <c r="A4" t="s">
        <v>13</v>
      </c>
      <c r="B4" t="s">
        <v>6</v>
      </c>
      <c r="C4" t="s">
        <v>14</v>
      </c>
      <c r="D4" t="str">
        <f t="shared" si="0"/>
        <v>Emily Gonzalez</v>
      </c>
      <c r="E4" t="s">
        <v>8</v>
      </c>
      <c r="F4" s="2">
        <v>42431</v>
      </c>
      <c r="G4" s="6">
        <v>114425</v>
      </c>
      <c r="H4">
        <v>54</v>
      </c>
      <c r="I4" t="s">
        <v>22</v>
      </c>
      <c r="J4" t="str">
        <f>VLOOKUP(E4,Lookup_Departments!$A$1:$B$7,2,FALSE)</f>
        <v>Information Technology</v>
      </c>
      <c r="K4" s="8">
        <f t="shared" ca="1" si="1"/>
        <v>10</v>
      </c>
      <c r="L4" t="str">
        <f>VLOOKUP(H4,Lookup_Performance!$A$1:$D$6,3,TRUE)</f>
        <v>Developing</v>
      </c>
      <c r="M4" s="6">
        <f>G4*VLOOKUP(H4,Lookup_Performance!$A$1:$D$6,4,TRUE)</f>
        <v>2288.5</v>
      </c>
      <c r="O4">
        <f>SUM(M:M)</f>
        <v>505914.20670000004</v>
      </c>
    </row>
    <row r="5" spans="1:15" x14ac:dyDescent="0.25">
      <c r="A5" t="s">
        <v>15</v>
      </c>
      <c r="B5" t="s">
        <v>16</v>
      </c>
      <c r="C5" t="s">
        <v>17</v>
      </c>
      <c r="D5" t="str">
        <f t="shared" si="0"/>
        <v>John Martinez</v>
      </c>
      <c r="E5" t="s">
        <v>18</v>
      </c>
      <c r="F5" s="2">
        <v>45110</v>
      </c>
      <c r="G5" s="6">
        <v>103831</v>
      </c>
      <c r="H5">
        <v>70</v>
      </c>
      <c r="I5" t="s">
        <v>35</v>
      </c>
      <c r="J5" t="str">
        <f>VLOOKUP(E5,Lookup_Departments!$A$1:$B$7,2,FALSE)</f>
        <v>Finance</v>
      </c>
      <c r="K5" s="8">
        <f t="shared" ca="1" si="1"/>
        <v>3</v>
      </c>
      <c r="L5" t="str">
        <f>VLOOKUP(H5,Lookup_Performance!$A$1:$D$6,3,TRUE)</f>
        <v>Achieving</v>
      </c>
      <c r="M5" s="6">
        <f>G5*VLOOKUP(H5,Lookup_Performance!$A$1:$D$6,4,TRUE)</f>
        <v>5191.55</v>
      </c>
      <c r="O5">
        <f>SUM(M:M)</f>
        <v>505914.20670000004</v>
      </c>
    </row>
    <row r="6" spans="1:15" x14ac:dyDescent="0.25">
      <c r="A6" t="s">
        <v>19</v>
      </c>
      <c r="B6" t="s">
        <v>20</v>
      </c>
      <c r="C6" t="s">
        <v>21</v>
      </c>
      <c r="D6" t="str">
        <f t="shared" si="0"/>
        <v>Thomas Smith</v>
      </c>
      <c r="E6" t="s">
        <v>8</v>
      </c>
      <c r="F6" s="2">
        <v>44977</v>
      </c>
      <c r="G6" s="6">
        <v>73785</v>
      </c>
      <c r="H6">
        <v>40</v>
      </c>
      <c r="I6" t="s">
        <v>22</v>
      </c>
      <c r="J6" t="str">
        <f>VLOOKUP(E6,Lookup_Departments!$A$1:$B$7,2,FALSE)</f>
        <v>Information Technology</v>
      </c>
      <c r="K6" s="8">
        <f t="shared" ca="1" si="1"/>
        <v>3</v>
      </c>
      <c r="L6" t="str">
        <f>VLOOKUP(H6,Lookup_Performance!$A$1:$D$6,3,TRUE)</f>
        <v>Needs Improvement</v>
      </c>
      <c r="M6" s="6">
        <f>G6*VLOOKUP(H6,Lookup_Performance!$A$1:$D$6,4,TRUE)</f>
        <v>0</v>
      </c>
    </row>
    <row r="7" spans="1:15" x14ac:dyDescent="0.25">
      <c r="A7" t="s">
        <v>23</v>
      </c>
      <c r="B7" t="s">
        <v>6</v>
      </c>
      <c r="C7" t="s">
        <v>24</v>
      </c>
      <c r="D7" t="str">
        <f t="shared" si="0"/>
        <v>Emily Johnson</v>
      </c>
      <c r="E7" t="s">
        <v>25</v>
      </c>
      <c r="F7" s="2">
        <v>37335</v>
      </c>
      <c r="G7" s="6">
        <v>115882</v>
      </c>
      <c r="H7">
        <v>49</v>
      </c>
      <c r="I7" t="s">
        <v>35</v>
      </c>
      <c r="J7" t="str">
        <f>VLOOKUP(E7,Lookup_Departments!$A$1:$B$7,2,FALSE)</f>
        <v>Operations</v>
      </c>
      <c r="K7" s="8">
        <f t="shared" ca="1" si="1"/>
        <v>24</v>
      </c>
      <c r="L7" t="str">
        <f>VLOOKUP(H7,Lookup_Performance!$A$1:$D$6,3,TRUE)</f>
        <v>Needs Improvement</v>
      </c>
      <c r="M7" s="6">
        <f>G7*VLOOKUP(H7,Lookup_Performance!$A$1:$D$6,4,TRUE)</f>
        <v>0</v>
      </c>
    </row>
    <row r="8" spans="1:15" x14ac:dyDescent="0.25">
      <c r="A8" t="s">
        <v>26</v>
      </c>
      <c r="B8" t="s">
        <v>16</v>
      </c>
      <c r="C8" t="s">
        <v>27</v>
      </c>
      <c r="D8" t="str">
        <f t="shared" si="0"/>
        <v>John Wilson</v>
      </c>
      <c r="E8" t="s">
        <v>25</v>
      </c>
      <c r="F8" s="2">
        <v>45272</v>
      </c>
      <c r="G8" s="6">
        <v>59980</v>
      </c>
      <c r="H8">
        <v>70</v>
      </c>
      <c r="I8" t="s">
        <v>22</v>
      </c>
      <c r="J8" t="str">
        <f>VLOOKUP(E8,Lookup_Departments!$A$1:$B$7,2,FALSE)</f>
        <v>Operations</v>
      </c>
      <c r="K8" s="8">
        <f t="shared" ca="1" si="1"/>
        <v>3</v>
      </c>
      <c r="L8" t="str">
        <f>VLOOKUP(H8,Lookup_Performance!$A$1:$D$6,3,TRUE)</f>
        <v>Achieving</v>
      </c>
      <c r="M8" s="6">
        <f>G8*VLOOKUP(H8,Lookup_Performance!$A$1:$D$6,4,TRUE)</f>
        <v>2999</v>
      </c>
    </row>
    <row r="9" spans="1:15" x14ac:dyDescent="0.25">
      <c r="A9" t="s">
        <v>28</v>
      </c>
      <c r="B9" t="s">
        <v>29</v>
      </c>
      <c r="C9" t="s">
        <v>21</v>
      </c>
      <c r="D9" t="str">
        <f t="shared" si="0"/>
        <v>Jessica Smith</v>
      </c>
      <c r="E9" t="s">
        <v>25</v>
      </c>
      <c r="F9" s="2">
        <v>44174</v>
      </c>
      <c r="G9" s="6">
        <v>68728</v>
      </c>
      <c r="H9">
        <v>45</v>
      </c>
      <c r="I9" t="s">
        <v>35</v>
      </c>
      <c r="J9" t="str">
        <f>VLOOKUP(E9,Lookup_Departments!$A$1:$B$7,2,FALSE)</f>
        <v>Operations</v>
      </c>
      <c r="K9" s="8">
        <f t="shared" ca="1" si="1"/>
        <v>6</v>
      </c>
      <c r="L9" t="str">
        <f>VLOOKUP(H9,Lookup_Performance!$A$1:$D$6,3,TRUE)</f>
        <v>Needs Improvement</v>
      </c>
      <c r="M9" s="6">
        <f>G9*VLOOKUP(H9,Lookup_Performance!$A$1:$D$6,4,TRUE)</f>
        <v>0</v>
      </c>
    </row>
    <row r="10" spans="1:15" x14ac:dyDescent="0.25">
      <c r="A10" t="s">
        <v>30</v>
      </c>
      <c r="C10" t="s">
        <v>31</v>
      </c>
      <c r="D10" t="str">
        <f t="shared" si="0"/>
        <v xml:space="preserve"> Rodriguez</v>
      </c>
      <c r="E10" t="s">
        <v>18</v>
      </c>
      <c r="F10" s="2">
        <v>43107</v>
      </c>
      <c r="G10" s="6">
        <v>102139</v>
      </c>
      <c r="H10">
        <v>79</v>
      </c>
      <c r="I10" t="s">
        <v>35</v>
      </c>
      <c r="J10" t="str">
        <f>VLOOKUP(E10,Lookup_Departments!$A$1:$B$7,2,FALSE)</f>
        <v>Finance</v>
      </c>
      <c r="K10" s="8">
        <f t="shared" ca="1" si="1"/>
        <v>8</v>
      </c>
      <c r="L10" t="str">
        <f>VLOOKUP(H10,Lookup_Performance!$A$1:$D$6,3,TRUE)</f>
        <v>Achieving</v>
      </c>
      <c r="M10" s="6">
        <f>G10*VLOOKUP(H10,Lookup_Performance!$A$1:$D$6,4,TRUE)</f>
        <v>5106.9500000000007</v>
      </c>
    </row>
    <row r="11" spans="1:15" x14ac:dyDescent="0.25">
      <c r="A11" t="s">
        <v>32</v>
      </c>
      <c r="B11" t="s">
        <v>33</v>
      </c>
      <c r="C11" t="s">
        <v>17</v>
      </c>
      <c r="D11" t="str">
        <f t="shared" si="0"/>
        <v>Michael Martinez</v>
      </c>
      <c r="E11" t="s">
        <v>34</v>
      </c>
      <c r="F11" s="2">
        <v>42676</v>
      </c>
      <c r="G11" s="6">
        <v>94998</v>
      </c>
      <c r="H11">
        <v>58</v>
      </c>
      <c r="I11" t="s">
        <v>35</v>
      </c>
      <c r="J11" t="str">
        <f>VLOOKUP(E11,Lookup_Departments!$A$1:$B$7,2,FALSE)</f>
        <v>Sales</v>
      </c>
      <c r="K11" s="8">
        <f t="shared" ca="1" si="1"/>
        <v>10</v>
      </c>
      <c r="L11" t="str">
        <f>VLOOKUP(H11,Lookup_Performance!$A$1:$D$6,3,TRUE)</f>
        <v>Developing</v>
      </c>
      <c r="M11" s="6">
        <f>G11*VLOOKUP(H11,Lookup_Performance!$A$1:$D$6,4,TRUE)</f>
        <v>1899.96</v>
      </c>
    </row>
    <row r="12" spans="1:15" x14ac:dyDescent="0.25">
      <c r="A12" t="s">
        <v>36</v>
      </c>
      <c r="B12" t="s">
        <v>6</v>
      </c>
      <c r="C12" t="s">
        <v>37</v>
      </c>
      <c r="D12" t="str">
        <f t="shared" si="0"/>
        <v>Emily Miller</v>
      </c>
      <c r="E12" t="s">
        <v>34</v>
      </c>
      <c r="F12" s="2">
        <v>43911</v>
      </c>
      <c r="G12" s="6">
        <v>118635</v>
      </c>
      <c r="H12">
        <v>49</v>
      </c>
      <c r="I12" t="s">
        <v>35</v>
      </c>
      <c r="J12" t="str">
        <f>VLOOKUP(E12,Lookup_Departments!$A$1:$B$7,2,FALSE)</f>
        <v>Sales</v>
      </c>
      <c r="K12" s="8">
        <f t="shared" ca="1" si="1"/>
        <v>6</v>
      </c>
      <c r="L12" t="str">
        <f>VLOOKUP(H12,Lookup_Performance!$A$1:$D$6,3,TRUE)</f>
        <v>Needs Improvement</v>
      </c>
      <c r="M12" s="6">
        <f>G12*VLOOKUP(H12,Lookup_Performance!$A$1:$D$6,4,TRUE)</f>
        <v>0</v>
      </c>
      <c r="O12" s="6">
        <f>AVERAGE(G:G)</f>
        <v>83485.197333333301</v>
      </c>
    </row>
    <row r="13" spans="1:15" x14ac:dyDescent="0.25">
      <c r="A13" t="s">
        <v>38</v>
      </c>
      <c r="B13" t="s">
        <v>6</v>
      </c>
      <c r="C13" t="s">
        <v>11</v>
      </c>
      <c r="D13" t="str">
        <f t="shared" si="0"/>
        <v>Emily Hernandez</v>
      </c>
      <c r="E13" t="s">
        <v>8</v>
      </c>
      <c r="F13" s="2">
        <v>42425</v>
      </c>
      <c r="G13" s="6">
        <v>76918</v>
      </c>
      <c r="H13">
        <v>62</v>
      </c>
      <c r="I13" t="s">
        <v>35</v>
      </c>
      <c r="J13" t="str">
        <f>VLOOKUP(E13,Lookup_Departments!$A$1:$B$7,2,FALSE)</f>
        <v>Information Technology</v>
      </c>
      <c r="K13" s="8">
        <f t="shared" ca="1" si="1"/>
        <v>10</v>
      </c>
      <c r="L13" t="str">
        <f>VLOOKUP(H13,Lookup_Performance!$A$1:$D$6,3,TRUE)</f>
        <v>Developing</v>
      </c>
      <c r="M13" s="6">
        <f>G13*VLOOKUP(H13,Lookup_Performance!$A$1:$D$6,4,TRUE)</f>
        <v>1538.3600000000001</v>
      </c>
    </row>
    <row r="14" spans="1:15" x14ac:dyDescent="0.25">
      <c r="A14" t="s">
        <v>39</v>
      </c>
      <c r="B14" t="s">
        <v>40</v>
      </c>
      <c r="C14" t="s">
        <v>41</v>
      </c>
      <c r="D14" t="str">
        <f t="shared" si="0"/>
        <v>Jane Williams</v>
      </c>
      <c r="E14" t="s">
        <v>12</v>
      </c>
      <c r="F14" s="2">
        <v>42907</v>
      </c>
      <c r="G14" s="6">
        <v>61408</v>
      </c>
      <c r="H14">
        <v>48</v>
      </c>
      <c r="I14" t="s">
        <v>35</v>
      </c>
      <c r="J14" t="str">
        <f>VLOOKUP(E14,Lookup_Departments!$A$1:$B$7,2,FALSE)</f>
        <v>Marketing</v>
      </c>
      <c r="K14" s="8">
        <f t="shared" ca="1" si="1"/>
        <v>9</v>
      </c>
      <c r="L14" t="str">
        <f>VLOOKUP(H14,Lookup_Performance!$A$1:$D$6,3,TRUE)</f>
        <v>Needs Improvement</v>
      </c>
      <c r="M14" s="6">
        <f>G14*VLOOKUP(H14,Lookup_Performance!$A$1:$D$6,4,TRUE)</f>
        <v>0</v>
      </c>
      <c r="O14">
        <f>MEDIAN(H:H)</f>
        <v>70</v>
      </c>
    </row>
    <row r="15" spans="1:15" x14ac:dyDescent="0.25">
      <c r="A15" t="s">
        <v>42</v>
      </c>
      <c r="B15" t="s">
        <v>40</v>
      </c>
      <c r="C15" t="s">
        <v>37</v>
      </c>
      <c r="D15" t="str">
        <f t="shared" si="0"/>
        <v>Jane Miller</v>
      </c>
      <c r="E15" t="s">
        <v>12</v>
      </c>
      <c r="F15" s="2">
        <v>44001</v>
      </c>
      <c r="G15" s="6">
        <v>99990</v>
      </c>
      <c r="H15">
        <v>54</v>
      </c>
      <c r="I15" t="s">
        <v>35</v>
      </c>
      <c r="J15" t="str">
        <f>VLOOKUP(E15,Lookup_Departments!$A$1:$B$7,2,FALSE)</f>
        <v>Marketing</v>
      </c>
      <c r="K15" s="8">
        <f t="shared" ca="1" si="1"/>
        <v>6</v>
      </c>
      <c r="L15" t="str">
        <f>VLOOKUP(H15,Lookup_Performance!$A$1:$D$6,3,TRUE)</f>
        <v>Developing</v>
      </c>
      <c r="M15" s="6">
        <f>G15*VLOOKUP(H15,Lookup_Performance!$A$1:$D$6,4,TRUE)</f>
        <v>1999.8</v>
      </c>
    </row>
    <row r="16" spans="1:15" x14ac:dyDescent="0.25">
      <c r="A16" t="s">
        <v>43</v>
      </c>
      <c r="B16" t="s">
        <v>44</v>
      </c>
      <c r="C16" t="s">
        <v>45</v>
      </c>
      <c r="D16" t="str">
        <f t="shared" si="0"/>
        <v>Robert Jones</v>
      </c>
      <c r="E16" t="s">
        <v>12</v>
      </c>
      <c r="F16" s="2">
        <v>43820</v>
      </c>
      <c r="G16" s="6">
        <v>80385</v>
      </c>
      <c r="H16">
        <v>70</v>
      </c>
      <c r="I16" t="s">
        <v>35</v>
      </c>
      <c r="J16" t="str">
        <f>VLOOKUP(E16,Lookup_Departments!$A$1:$B$7,2,FALSE)</f>
        <v>Marketing</v>
      </c>
      <c r="K16" s="8">
        <f ca="1">YEAR(TODAY())-YEAR(F:F)</f>
        <v>7</v>
      </c>
      <c r="L16" t="str">
        <f>VLOOKUP(H16,Lookup_Performance!$A$1:$D$6,3,TRUE)</f>
        <v>Achieving</v>
      </c>
      <c r="M16" s="6">
        <f>G16*VLOOKUP(H16,Lookup_Performance!$A$1:$D$6,4,TRUE)</f>
        <v>4019.25</v>
      </c>
    </row>
    <row r="17" spans="1:13" x14ac:dyDescent="0.25">
      <c r="A17" t="s">
        <v>46</v>
      </c>
      <c r="B17" t="s">
        <v>20</v>
      </c>
      <c r="C17" t="s">
        <v>31</v>
      </c>
      <c r="D17" t="str">
        <f t="shared" si="0"/>
        <v>Thomas Rodriguez</v>
      </c>
      <c r="E17" t="s">
        <v>34</v>
      </c>
      <c r="F17" s="2">
        <v>45169</v>
      </c>
      <c r="G17" s="6">
        <v>65290</v>
      </c>
      <c r="H17">
        <v>77</v>
      </c>
      <c r="I17" t="s">
        <v>35</v>
      </c>
      <c r="J17" t="str">
        <f>VLOOKUP(E17,Lookup_Departments!$A$1:$B$7,2,FALSE)</f>
        <v>Sales</v>
      </c>
      <c r="K17" s="8">
        <f t="shared" ca="1" si="1"/>
        <v>3</v>
      </c>
      <c r="L17" t="str">
        <f>VLOOKUP(H17,Lookup_Performance!$A$1:$D$6,3,TRUE)</f>
        <v>Achieving</v>
      </c>
      <c r="M17" s="6">
        <f>G17*VLOOKUP(H17,Lookup_Performance!$A$1:$D$6,4,TRUE)</f>
        <v>3264.5</v>
      </c>
    </row>
    <row r="18" spans="1:13" x14ac:dyDescent="0.25">
      <c r="A18" t="s">
        <v>47</v>
      </c>
      <c r="B18" t="s">
        <v>6</v>
      </c>
      <c r="C18" t="s">
        <v>48</v>
      </c>
      <c r="D18" t="str">
        <f t="shared" si="0"/>
        <v>Emily Davis</v>
      </c>
      <c r="E18" t="s">
        <v>8</v>
      </c>
      <c r="F18" s="2">
        <v>42337</v>
      </c>
      <c r="G18" s="6">
        <v>105765</v>
      </c>
      <c r="H18">
        <v>42</v>
      </c>
      <c r="I18" t="s">
        <v>35</v>
      </c>
      <c r="J18" t="str">
        <f>VLOOKUP(E18,Lookup_Departments!$A$1:$B$7,2,FALSE)</f>
        <v>Information Technology</v>
      </c>
      <c r="K18" s="8">
        <f t="shared" ca="1" si="1"/>
        <v>11</v>
      </c>
      <c r="L18" t="str">
        <f>VLOOKUP(H18,Lookup_Performance!$A$1:$D$6,3,TRUE)</f>
        <v>Needs Improvement</v>
      </c>
      <c r="M18" s="6">
        <f>G18*VLOOKUP(H18,Lookup_Performance!$A$1:$D$6,4,TRUE)</f>
        <v>0</v>
      </c>
    </row>
    <row r="19" spans="1:13" x14ac:dyDescent="0.25">
      <c r="A19" t="s">
        <v>49</v>
      </c>
      <c r="B19" t="s">
        <v>50</v>
      </c>
      <c r="C19" t="s">
        <v>17</v>
      </c>
      <c r="D19" t="str">
        <f t="shared" si="0"/>
        <v>James Martinez</v>
      </c>
      <c r="E19" t="s">
        <v>34</v>
      </c>
      <c r="F19" s="2">
        <v>42899</v>
      </c>
      <c r="G19" s="6">
        <v>102921</v>
      </c>
      <c r="H19">
        <v>49</v>
      </c>
      <c r="I19" t="s">
        <v>35</v>
      </c>
      <c r="J19" t="str">
        <f>VLOOKUP(E19,Lookup_Departments!$A$1:$B$7,2,FALSE)</f>
        <v>Sales</v>
      </c>
      <c r="K19" s="8">
        <f t="shared" ca="1" si="1"/>
        <v>9</v>
      </c>
      <c r="L19" t="str">
        <f>VLOOKUP(H19,Lookup_Performance!$A$1:$D$6,3,TRUE)</f>
        <v>Needs Improvement</v>
      </c>
      <c r="M19" s="6">
        <f>G19*VLOOKUP(H19,Lookup_Performance!$A$1:$D$6,4,TRUE)</f>
        <v>0</v>
      </c>
    </row>
    <row r="20" spans="1:13" x14ac:dyDescent="0.25">
      <c r="A20" t="s">
        <v>51</v>
      </c>
      <c r="B20" t="s">
        <v>52</v>
      </c>
      <c r="C20" t="s">
        <v>53</v>
      </c>
      <c r="D20" t="str">
        <f t="shared" si="0"/>
        <v>Ashley Lopez</v>
      </c>
      <c r="E20" t="s">
        <v>12</v>
      </c>
      <c r="F20" s="2">
        <v>43235</v>
      </c>
      <c r="G20" s="6">
        <v>73984</v>
      </c>
      <c r="H20">
        <v>93</v>
      </c>
      <c r="I20" t="s">
        <v>35</v>
      </c>
      <c r="J20" t="str">
        <f>VLOOKUP(E20,Lookup_Departments!$A$1:$B$7,2,FALSE)</f>
        <v>Marketing</v>
      </c>
      <c r="K20" s="8">
        <f t="shared" ca="1" si="1"/>
        <v>8</v>
      </c>
      <c r="L20" t="str">
        <f>VLOOKUP(H20,Lookup_Performance!$A$1:$D$6,3,TRUE)</f>
        <v>Exceeding</v>
      </c>
      <c r="M20" s="6">
        <f>G20*VLOOKUP(H20,Lookup_Performance!$A$1:$D$6,4,TRUE)</f>
        <v>5918.72</v>
      </c>
    </row>
    <row r="21" spans="1:13" x14ac:dyDescent="0.25">
      <c r="A21" t="s">
        <v>54</v>
      </c>
      <c r="B21" t="s">
        <v>55</v>
      </c>
      <c r="C21" t="s">
        <v>14</v>
      </c>
      <c r="D21" t="str">
        <f t="shared" si="0"/>
        <v>Amanda Gonzalez</v>
      </c>
      <c r="E21" t="s">
        <v>8</v>
      </c>
      <c r="F21" s="2">
        <v>42575</v>
      </c>
      <c r="G21" s="6">
        <v>82713.429999999993</v>
      </c>
      <c r="H21">
        <v>75</v>
      </c>
      <c r="I21" t="s">
        <v>35</v>
      </c>
      <c r="J21" t="str">
        <f>VLOOKUP(E21,Lookup_Departments!$A$1:$B$7,2,FALSE)</f>
        <v>Information Technology</v>
      </c>
      <c r="K21" s="8">
        <f t="shared" ca="1" si="1"/>
        <v>10</v>
      </c>
      <c r="L21" t="str">
        <f>VLOOKUP(H21,Lookup_Performance!$A$1:$D$6,3,TRUE)</f>
        <v>Achieving</v>
      </c>
      <c r="M21" s="6">
        <f>G21*VLOOKUP(H21,Lookup_Performance!$A$1:$D$6,4,TRUE)</f>
        <v>4135.6714999999995</v>
      </c>
    </row>
    <row r="22" spans="1:13" x14ac:dyDescent="0.25">
      <c r="A22" t="s">
        <v>56</v>
      </c>
      <c r="B22" t="s">
        <v>33</v>
      </c>
      <c r="C22" t="s">
        <v>11</v>
      </c>
      <c r="D22" t="str">
        <f t="shared" si="0"/>
        <v>Michael Hernandez</v>
      </c>
      <c r="E22" t="s">
        <v>18</v>
      </c>
      <c r="F22" s="2">
        <v>43076</v>
      </c>
      <c r="G22" s="6">
        <v>118527</v>
      </c>
      <c r="H22">
        <v>50</v>
      </c>
      <c r="I22" t="s">
        <v>35</v>
      </c>
      <c r="J22" t="str">
        <f>VLOOKUP(E22,Lookup_Departments!$A$1:$B$7,2,FALSE)</f>
        <v>Finance</v>
      </c>
      <c r="K22" s="8">
        <f t="shared" ca="1" si="1"/>
        <v>9</v>
      </c>
      <c r="L22" t="str">
        <f>VLOOKUP(H22,Lookup_Performance!$A$1:$D$6,3,TRUE)</f>
        <v>Developing</v>
      </c>
      <c r="M22" s="6">
        <f>G22*VLOOKUP(H22,Lookup_Performance!$A$1:$D$6,4,TRUE)</f>
        <v>2370.54</v>
      </c>
    </row>
    <row r="23" spans="1:13" x14ac:dyDescent="0.25">
      <c r="A23" t="s">
        <v>57</v>
      </c>
      <c r="B23" t="s">
        <v>10</v>
      </c>
      <c r="C23" t="s">
        <v>11</v>
      </c>
      <c r="D23" t="str">
        <f t="shared" si="0"/>
        <v>Richard Hernandez</v>
      </c>
      <c r="E23" t="s">
        <v>12</v>
      </c>
      <c r="F23" s="2">
        <v>44353</v>
      </c>
      <c r="G23" s="6">
        <v>107871</v>
      </c>
      <c r="H23">
        <v>88</v>
      </c>
      <c r="I23" t="s">
        <v>35</v>
      </c>
      <c r="J23" t="str">
        <f>VLOOKUP(E23,Lookup_Departments!$A$1:$B$7,2,FALSE)</f>
        <v>Marketing</v>
      </c>
      <c r="K23" s="8">
        <f t="shared" ca="1" si="1"/>
        <v>5</v>
      </c>
      <c r="L23" t="str">
        <f>VLOOKUP(H23,Lookup_Performance!$A$1:$D$6,3,TRUE)</f>
        <v>Exceeding</v>
      </c>
      <c r="M23" s="6">
        <f>G23*VLOOKUP(H23,Lookup_Performance!$A$1:$D$6,4,TRUE)</f>
        <v>8629.68</v>
      </c>
    </row>
    <row r="24" spans="1:13" x14ac:dyDescent="0.25">
      <c r="A24" t="s">
        <v>58</v>
      </c>
      <c r="B24" t="s">
        <v>33</v>
      </c>
      <c r="C24" t="s">
        <v>31</v>
      </c>
      <c r="D24" t="str">
        <f t="shared" si="0"/>
        <v>Michael Rodriguez</v>
      </c>
      <c r="E24" t="s">
        <v>8</v>
      </c>
      <c r="F24" s="2">
        <v>44815</v>
      </c>
      <c r="G24" s="6">
        <v>93956</v>
      </c>
      <c r="H24">
        <v>50</v>
      </c>
      <c r="I24" t="s">
        <v>22</v>
      </c>
      <c r="J24" t="str">
        <f>VLOOKUP(E24,Lookup_Departments!$A$1:$B$7,2,FALSE)</f>
        <v>Information Technology</v>
      </c>
      <c r="K24" s="8">
        <f t="shared" ca="1" si="1"/>
        <v>4</v>
      </c>
      <c r="L24" t="str">
        <f>VLOOKUP(H24,Lookup_Performance!$A$1:$D$6,3,TRUE)</f>
        <v>Developing</v>
      </c>
      <c r="M24" s="6">
        <f>G24*VLOOKUP(H24,Lookup_Performance!$A$1:$D$6,4,TRUE)</f>
        <v>1879.1200000000001</v>
      </c>
    </row>
    <row r="25" spans="1:13" x14ac:dyDescent="0.25">
      <c r="A25" t="s">
        <v>59</v>
      </c>
      <c r="B25" t="s">
        <v>29</v>
      </c>
      <c r="C25" t="s">
        <v>24</v>
      </c>
      <c r="D25" t="str">
        <f t="shared" si="0"/>
        <v>Jessica Johnson</v>
      </c>
      <c r="E25" t="s">
        <v>18</v>
      </c>
      <c r="F25" s="2">
        <v>42565</v>
      </c>
      <c r="G25" s="6">
        <v>100851</v>
      </c>
      <c r="H25">
        <v>64</v>
      </c>
      <c r="I25" t="s">
        <v>35</v>
      </c>
      <c r="J25" t="str">
        <f>VLOOKUP(E25,Lookup_Departments!$A$1:$B$7,2,FALSE)</f>
        <v>Finance</v>
      </c>
      <c r="K25" s="8">
        <f t="shared" ca="1" si="1"/>
        <v>10</v>
      </c>
      <c r="L25" t="str">
        <f>VLOOKUP(H25,Lookup_Performance!$A$1:$D$6,3,TRUE)</f>
        <v>Developing</v>
      </c>
      <c r="M25" s="6">
        <f>G25*VLOOKUP(H25,Lookup_Performance!$A$1:$D$6,4,TRUE)</f>
        <v>2017.02</v>
      </c>
    </row>
    <row r="26" spans="1:13" x14ac:dyDescent="0.25">
      <c r="A26" t="s">
        <v>60</v>
      </c>
      <c r="B26" t="s">
        <v>52</v>
      </c>
      <c r="C26" t="s">
        <v>41</v>
      </c>
      <c r="D26" t="str">
        <f t="shared" si="0"/>
        <v>Ashley Williams</v>
      </c>
      <c r="E26" t="s">
        <v>34</v>
      </c>
      <c r="F26" s="2">
        <v>44728</v>
      </c>
      <c r="G26" s="6">
        <v>68655</v>
      </c>
      <c r="H26">
        <v>32</v>
      </c>
      <c r="I26" t="s">
        <v>35</v>
      </c>
      <c r="J26" t="str">
        <f>VLOOKUP(E26,Lookup_Departments!$A$1:$B$7,2,FALSE)</f>
        <v>Sales</v>
      </c>
      <c r="K26" s="8">
        <f t="shared" ca="1" si="1"/>
        <v>4</v>
      </c>
      <c r="L26" t="str">
        <f>VLOOKUP(H26,Lookup_Performance!$A$1:$D$6,3,TRUE)</f>
        <v>Needs Improvement</v>
      </c>
      <c r="M26" s="6">
        <f>G26*VLOOKUP(H26,Lookup_Performance!$A$1:$D$6,4,TRUE)</f>
        <v>0</v>
      </c>
    </row>
    <row r="27" spans="1:13" x14ac:dyDescent="0.25">
      <c r="A27" t="s">
        <v>61</v>
      </c>
      <c r="C27" t="s">
        <v>41</v>
      </c>
      <c r="D27" t="str">
        <f t="shared" si="0"/>
        <v xml:space="preserve"> Williams</v>
      </c>
      <c r="E27" t="s">
        <v>34</v>
      </c>
      <c r="F27" s="2">
        <v>45134</v>
      </c>
      <c r="G27" s="6">
        <v>81205</v>
      </c>
      <c r="H27">
        <v>59</v>
      </c>
      <c r="I27" t="s">
        <v>35</v>
      </c>
      <c r="J27" t="str">
        <f>VLOOKUP(E27,Lookup_Departments!$A$1:$B$7,2,FALSE)</f>
        <v>Sales</v>
      </c>
      <c r="K27" s="8">
        <f t="shared" ca="1" si="1"/>
        <v>3</v>
      </c>
      <c r="L27" t="str">
        <f>VLOOKUP(H27,Lookup_Performance!$A$1:$D$6,3,TRUE)</f>
        <v>Developing</v>
      </c>
      <c r="M27" s="6">
        <f>G27*VLOOKUP(H27,Lookup_Performance!$A$1:$D$6,4,TRUE)</f>
        <v>1624.1000000000001</v>
      </c>
    </row>
    <row r="28" spans="1:13" x14ac:dyDescent="0.25">
      <c r="A28" t="s">
        <v>62</v>
      </c>
      <c r="B28" t="s">
        <v>16</v>
      </c>
      <c r="C28" t="s">
        <v>27</v>
      </c>
      <c r="D28" t="str">
        <f t="shared" si="0"/>
        <v>John Wilson</v>
      </c>
      <c r="E28" t="s">
        <v>34</v>
      </c>
      <c r="F28" s="2">
        <v>43732</v>
      </c>
      <c r="G28" s="6">
        <v>77610</v>
      </c>
      <c r="H28">
        <v>88</v>
      </c>
      <c r="I28" t="s">
        <v>35</v>
      </c>
      <c r="J28" t="str">
        <f>VLOOKUP(E28,Lookup_Departments!$A$1:$B$7,2,FALSE)</f>
        <v>Sales</v>
      </c>
      <c r="K28" s="8">
        <f t="shared" ca="1" si="1"/>
        <v>7</v>
      </c>
      <c r="L28" t="str">
        <f>VLOOKUP(H28,Lookup_Performance!$A$1:$D$6,3,TRUE)</f>
        <v>Exceeding</v>
      </c>
      <c r="M28" s="6">
        <f>G28*VLOOKUP(H28,Lookup_Performance!$A$1:$D$6,4,TRUE)</f>
        <v>6208.8</v>
      </c>
    </row>
    <row r="29" spans="1:13" x14ac:dyDescent="0.25">
      <c r="A29" t="s">
        <v>63</v>
      </c>
      <c r="B29" t="s">
        <v>20</v>
      </c>
      <c r="C29" t="s">
        <v>31</v>
      </c>
      <c r="D29" t="str">
        <f t="shared" si="0"/>
        <v>Thomas Rodriguez</v>
      </c>
      <c r="E29" t="s">
        <v>8</v>
      </c>
      <c r="F29" s="2">
        <v>44765</v>
      </c>
      <c r="G29" s="6">
        <v>50873</v>
      </c>
      <c r="H29">
        <v>90</v>
      </c>
      <c r="I29" t="s">
        <v>35</v>
      </c>
      <c r="J29" t="str">
        <f>VLOOKUP(E29,Lookup_Departments!$A$1:$B$7,2,FALSE)</f>
        <v>Information Technology</v>
      </c>
      <c r="K29" s="8">
        <f t="shared" ca="1" si="1"/>
        <v>4</v>
      </c>
      <c r="L29" t="str">
        <f>VLOOKUP(H29,Lookup_Performance!$A$1:$D$6,3,TRUE)</f>
        <v>Exceeding</v>
      </c>
      <c r="M29" s="6">
        <f>G29*VLOOKUP(H29,Lookup_Performance!$A$1:$D$6,4,TRUE)</f>
        <v>4069.84</v>
      </c>
    </row>
    <row r="30" spans="1:13" x14ac:dyDescent="0.25">
      <c r="A30" t="s">
        <v>64</v>
      </c>
      <c r="B30" t="s">
        <v>33</v>
      </c>
      <c r="C30" t="s">
        <v>27</v>
      </c>
      <c r="D30" t="str">
        <f t="shared" si="0"/>
        <v>Michael Wilson</v>
      </c>
      <c r="E30" t="s">
        <v>18</v>
      </c>
      <c r="F30" s="2">
        <v>41412</v>
      </c>
      <c r="G30" s="6">
        <v>85312</v>
      </c>
      <c r="H30">
        <v>66</v>
      </c>
      <c r="I30" t="s">
        <v>35</v>
      </c>
      <c r="J30" t="str">
        <f>VLOOKUP(E30,Lookup_Departments!$A$1:$B$7,2,FALSE)</f>
        <v>Finance</v>
      </c>
      <c r="K30" s="8">
        <f t="shared" ca="1" si="1"/>
        <v>13</v>
      </c>
      <c r="L30" t="str">
        <f>VLOOKUP(H30,Lookup_Performance!$A$1:$D$6,3,TRUE)</f>
        <v>Developing</v>
      </c>
      <c r="M30" s="6">
        <f>G30*VLOOKUP(H30,Lookup_Performance!$A$1:$D$6,4,TRUE)</f>
        <v>1706.24</v>
      </c>
    </row>
    <row r="31" spans="1:13" x14ac:dyDescent="0.25">
      <c r="A31" t="s">
        <v>65</v>
      </c>
      <c r="B31" t="s">
        <v>16</v>
      </c>
      <c r="C31" t="s">
        <v>31</v>
      </c>
      <c r="D31" t="str">
        <f t="shared" si="0"/>
        <v>John Rodriguez</v>
      </c>
      <c r="E31" t="s">
        <v>34</v>
      </c>
      <c r="F31" s="2">
        <v>42202</v>
      </c>
      <c r="G31" s="6">
        <v>82713.429999999993</v>
      </c>
      <c r="H31">
        <v>68</v>
      </c>
      <c r="I31" t="s">
        <v>35</v>
      </c>
      <c r="J31" t="str">
        <f>VLOOKUP(E31,Lookup_Departments!$A$1:$B$7,2,FALSE)</f>
        <v>Sales</v>
      </c>
      <c r="K31" s="8">
        <f t="shared" ca="1" si="1"/>
        <v>11</v>
      </c>
      <c r="L31" t="str">
        <f>VLOOKUP(H31,Lookup_Performance!$A$1:$D$6,3,TRUE)</f>
        <v>Developing</v>
      </c>
      <c r="M31" s="6">
        <f>G31*VLOOKUP(H31,Lookup_Performance!$A$1:$D$6,4,TRUE)</f>
        <v>1654.2685999999999</v>
      </c>
    </row>
    <row r="32" spans="1:13" x14ac:dyDescent="0.25">
      <c r="A32" t="s">
        <v>66</v>
      </c>
      <c r="B32" t="s">
        <v>20</v>
      </c>
      <c r="C32" t="s">
        <v>11</v>
      </c>
      <c r="D32" t="str">
        <f t="shared" si="0"/>
        <v>Thomas Hernandez</v>
      </c>
      <c r="E32" t="s">
        <v>25</v>
      </c>
      <c r="F32" s="2">
        <v>38579</v>
      </c>
      <c r="G32" s="6">
        <v>97055</v>
      </c>
      <c r="H32">
        <v>80</v>
      </c>
      <c r="I32" t="s">
        <v>35</v>
      </c>
      <c r="J32" t="str">
        <f>VLOOKUP(E32,Lookup_Departments!$A$1:$B$7,2,FALSE)</f>
        <v>Operations</v>
      </c>
      <c r="K32" s="8">
        <f t="shared" ca="1" si="1"/>
        <v>21</v>
      </c>
      <c r="L32" t="str">
        <f>VLOOKUP(H32,Lookup_Performance!$A$1:$D$6,3,TRUE)</f>
        <v>Achieving</v>
      </c>
      <c r="M32" s="6">
        <f>G32*VLOOKUP(H32,Lookup_Performance!$A$1:$D$6,4,TRUE)</f>
        <v>4852.75</v>
      </c>
    </row>
    <row r="33" spans="1:13" x14ac:dyDescent="0.25">
      <c r="A33" t="s">
        <v>67</v>
      </c>
      <c r="B33" t="s">
        <v>33</v>
      </c>
      <c r="C33" t="s">
        <v>24</v>
      </c>
      <c r="D33" t="str">
        <f t="shared" si="0"/>
        <v>Michael Johnson</v>
      </c>
      <c r="E33" t="s">
        <v>8</v>
      </c>
      <c r="F33" s="2">
        <v>45195</v>
      </c>
      <c r="G33" s="6">
        <v>66069</v>
      </c>
      <c r="H33">
        <v>72</v>
      </c>
      <c r="I33" t="s">
        <v>35</v>
      </c>
      <c r="J33" t="str">
        <f>VLOOKUP(E33,Lookup_Departments!$A$1:$B$7,2,FALSE)</f>
        <v>Information Technology</v>
      </c>
      <c r="K33" s="8">
        <f t="shared" ca="1" si="1"/>
        <v>3</v>
      </c>
      <c r="L33" t="str">
        <f>VLOOKUP(H33,Lookup_Performance!$A$1:$D$6,3,TRUE)</f>
        <v>Achieving</v>
      </c>
      <c r="M33" s="6">
        <f>G33*VLOOKUP(H33,Lookup_Performance!$A$1:$D$6,4,TRUE)</f>
        <v>3303.4500000000003</v>
      </c>
    </row>
    <row r="34" spans="1:13" x14ac:dyDescent="0.25">
      <c r="A34" t="s">
        <v>68</v>
      </c>
      <c r="B34" t="s">
        <v>69</v>
      </c>
      <c r="C34" t="s">
        <v>7</v>
      </c>
      <c r="D34" t="str">
        <f t="shared" si="0"/>
        <v>Sarah Brown</v>
      </c>
      <c r="E34" t="s">
        <v>8</v>
      </c>
      <c r="F34" s="2">
        <v>40348</v>
      </c>
      <c r="G34" s="6">
        <v>90157</v>
      </c>
      <c r="H34">
        <v>58</v>
      </c>
      <c r="I34" t="s">
        <v>35</v>
      </c>
      <c r="J34" t="str">
        <f>VLOOKUP(E34,Lookup_Departments!$A$1:$B$7,2,FALSE)</f>
        <v>Information Technology</v>
      </c>
      <c r="K34" s="8">
        <f t="shared" ca="1" si="1"/>
        <v>16</v>
      </c>
      <c r="L34" t="str">
        <f>VLOOKUP(H34,Lookup_Performance!$A$1:$D$6,3,TRUE)</f>
        <v>Developing</v>
      </c>
      <c r="M34" s="6">
        <f>G34*VLOOKUP(H34,Lookup_Performance!$A$1:$D$6,4,TRUE)</f>
        <v>1803.14</v>
      </c>
    </row>
    <row r="35" spans="1:13" x14ac:dyDescent="0.25">
      <c r="A35" t="s">
        <v>70</v>
      </c>
      <c r="B35" t="s">
        <v>40</v>
      </c>
      <c r="C35" t="s">
        <v>17</v>
      </c>
      <c r="D35" t="str">
        <f t="shared" si="0"/>
        <v>Jane Martinez</v>
      </c>
      <c r="E35" t="s">
        <v>71</v>
      </c>
      <c r="F35" s="2">
        <v>44578</v>
      </c>
      <c r="G35" s="6">
        <v>59899</v>
      </c>
      <c r="H35">
        <v>78</v>
      </c>
      <c r="I35" t="s">
        <v>35</v>
      </c>
      <c r="J35" t="str">
        <f>VLOOKUP(E35,Lookup_Departments!$A$1:$B$7,2,FALSE)</f>
        <v>Human Resources</v>
      </c>
      <c r="K35" s="8">
        <f t="shared" ca="1" si="1"/>
        <v>4</v>
      </c>
      <c r="L35" t="str">
        <f>VLOOKUP(H35,Lookup_Performance!$A$1:$D$6,3,TRUE)</f>
        <v>Achieving</v>
      </c>
      <c r="M35" s="6">
        <f>G35*VLOOKUP(H35,Lookup_Performance!$A$1:$D$6,4,TRUE)</f>
        <v>2994.9500000000003</v>
      </c>
    </row>
    <row r="36" spans="1:13" x14ac:dyDescent="0.25">
      <c r="A36" t="s">
        <v>72</v>
      </c>
      <c r="B36" t="s">
        <v>6</v>
      </c>
      <c r="C36" t="s">
        <v>45</v>
      </c>
      <c r="D36" t="str">
        <f t="shared" si="0"/>
        <v>Emily Jones</v>
      </c>
      <c r="E36" t="s">
        <v>18</v>
      </c>
      <c r="F36" s="2">
        <v>37819</v>
      </c>
      <c r="G36" s="6">
        <v>113389</v>
      </c>
      <c r="H36">
        <v>30</v>
      </c>
      <c r="I36" t="s">
        <v>35</v>
      </c>
      <c r="J36" t="str">
        <f>VLOOKUP(E36,Lookup_Departments!$A$1:$B$7,2,FALSE)</f>
        <v>Finance</v>
      </c>
      <c r="K36" s="8">
        <f t="shared" ca="1" si="1"/>
        <v>23</v>
      </c>
      <c r="L36" t="str">
        <f>VLOOKUP(H36,Lookup_Performance!$A$1:$D$6,3,TRUE)</f>
        <v>Needs Improvement</v>
      </c>
      <c r="M36" s="6">
        <f>G36*VLOOKUP(H36,Lookup_Performance!$A$1:$D$6,4,TRUE)</f>
        <v>0</v>
      </c>
    </row>
    <row r="37" spans="1:13" x14ac:dyDescent="0.25">
      <c r="A37" t="s">
        <v>73</v>
      </c>
      <c r="C37" t="s">
        <v>7</v>
      </c>
      <c r="D37" t="str">
        <f t="shared" si="0"/>
        <v xml:space="preserve"> Brown</v>
      </c>
      <c r="E37" t="s">
        <v>8</v>
      </c>
      <c r="F37" s="2">
        <v>37149</v>
      </c>
      <c r="G37" s="6">
        <v>102691</v>
      </c>
      <c r="H37">
        <v>52</v>
      </c>
      <c r="I37" t="s">
        <v>35</v>
      </c>
      <c r="J37" t="str">
        <f>VLOOKUP(E37,Lookup_Departments!$A$1:$B$7,2,FALSE)</f>
        <v>Information Technology</v>
      </c>
      <c r="K37" s="8">
        <f t="shared" ca="1" si="1"/>
        <v>25</v>
      </c>
      <c r="L37" t="str">
        <f>VLOOKUP(H37,Lookup_Performance!$A$1:$D$6,3,TRUE)</f>
        <v>Developing</v>
      </c>
      <c r="M37" s="6">
        <f>G37*VLOOKUP(H37,Lookup_Performance!$A$1:$D$6,4,TRUE)</f>
        <v>2053.8200000000002</v>
      </c>
    </row>
    <row r="38" spans="1:13" x14ac:dyDescent="0.25">
      <c r="A38" t="s">
        <v>74</v>
      </c>
      <c r="B38" t="s">
        <v>16</v>
      </c>
      <c r="C38" t="s">
        <v>27</v>
      </c>
      <c r="D38" t="str">
        <f t="shared" si="0"/>
        <v>John Wilson</v>
      </c>
      <c r="E38" t="s">
        <v>25</v>
      </c>
      <c r="F38" s="2">
        <v>37855</v>
      </c>
      <c r="G38" s="6">
        <v>111845</v>
      </c>
      <c r="H38">
        <v>98</v>
      </c>
      <c r="I38" t="s">
        <v>35</v>
      </c>
      <c r="J38" t="str">
        <f>VLOOKUP(E38,Lookup_Departments!$A$1:$B$7,2,FALSE)</f>
        <v>Operations</v>
      </c>
      <c r="K38" s="8">
        <f t="shared" ca="1" si="1"/>
        <v>23</v>
      </c>
      <c r="L38" t="str">
        <f>VLOOKUP(H38,Lookup_Performance!$A$1:$D$6,3,TRUE)</f>
        <v>Outstanding</v>
      </c>
      <c r="M38" s="6">
        <f>G38*VLOOKUP(H38,Lookup_Performance!$A$1:$D$6,4,TRUE)</f>
        <v>13421.4</v>
      </c>
    </row>
    <row r="39" spans="1:13" x14ac:dyDescent="0.25">
      <c r="A39" t="s">
        <v>75</v>
      </c>
      <c r="B39" t="s">
        <v>76</v>
      </c>
      <c r="C39" t="s">
        <v>7</v>
      </c>
      <c r="D39" t="str">
        <f t="shared" si="0"/>
        <v>Melissa Brown</v>
      </c>
      <c r="E39" t="s">
        <v>34</v>
      </c>
      <c r="F39" s="2">
        <v>44741</v>
      </c>
      <c r="G39" s="6">
        <v>69219</v>
      </c>
      <c r="H39">
        <v>93</v>
      </c>
      <c r="I39" t="s">
        <v>35</v>
      </c>
      <c r="J39" t="str">
        <f>VLOOKUP(E39,Lookup_Departments!$A$1:$B$7,2,FALSE)</f>
        <v>Sales</v>
      </c>
      <c r="K39" s="8">
        <f t="shared" ca="1" si="1"/>
        <v>4</v>
      </c>
      <c r="L39" t="str">
        <f>VLOOKUP(H39,Lookup_Performance!$A$1:$D$6,3,TRUE)</f>
        <v>Exceeding</v>
      </c>
      <c r="M39" s="6">
        <f>G39*VLOOKUP(H39,Lookup_Performance!$A$1:$D$6,4,TRUE)</f>
        <v>5537.52</v>
      </c>
    </row>
    <row r="40" spans="1:13" x14ac:dyDescent="0.25">
      <c r="A40" t="s">
        <v>77</v>
      </c>
      <c r="B40" t="s">
        <v>33</v>
      </c>
      <c r="C40" t="s">
        <v>21</v>
      </c>
      <c r="D40" t="str">
        <f t="shared" si="0"/>
        <v>Michael Smith</v>
      </c>
      <c r="E40" t="s">
        <v>18</v>
      </c>
      <c r="F40" s="2">
        <v>43949</v>
      </c>
      <c r="G40" s="6">
        <v>82713.429999999993</v>
      </c>
      <c r="H40">
        <v>80</v>
      </c>
      <c r="I40" t="s">
        <v>22</v>
      </c>
      <c r="J40" t="str">
        <f>VLOOKUP(E40,Lookup_Departments!$A$1:$B$7,2,FALSE)</f>
        <v>Finance</v>
      </c>
      <c r="K40" s="8">
        <f t="shared" ca="1" si="1"/>
        <v>6</v>
      </c>
      <c r="L40" t="str">
        <f>VLOOKUP(H40,Lookup_Performance!$A$1:$D$6,3,TRUE)</f>
        <v>Achieving</v>
      </c>
      <c r="M40" s="6">
        <f>G40*VLOOKUP(H40,Lookup_Performance!$A$1:$D$6,4,TRUE)</f>
        <v>4135.6714999999995</v>
      </c>
    </row>
    <row r="41" spans="1:13" x14ac:dyDescent="0.25">
      <c r="A41" t="s">
        <v>78</v>
      </c>
      <c r="B41" t="s">
        <v>69</v>
      </c>
      <c r="C41" t="s">
        <v>37</v>
      </c>
      <c r="D41" t="str">
        <f t="shared" si="0"/>
        <v>Sarah Miller</v>
      </c>
      <c r="E41" t="s">
        <v>25</v>
      </c>
      <c r="F41" s="2">
        <v>42987</v>
      </c>
      <c r="G41" s="6">
        <v>57514</v>
      </c>
      <c r="H41">
        <v>70</v>
      </c>
      <c r="I41" t="s">
        <v>35</v>
      </c>
      <c r="J41" t="str">
        <f>VLOOKUP(E41,Lookup_Departments!$A$1:$B$7,2,FALSE)</f>
        <v>Operations</v>
      </c>
      <c r="K41" s="8">
        <f t="shared" ca="1" si="1"/>
        <v>9</v>
      </c>
      <c r="L41" t="str">
        <f>VLOOKUP(H41,Lookup_Performance!$A$1:$D$6,3,TRUE)</f>
        <v>Achieving</v>
      </c>
      <c r="M41" s="6">
        <f>G41*VLOOKUP(H41,Lookup_Performance!$A$1:$D$6,4,TRUE)</f>
        <v>2875.7000000000003</v>
      </c>
    </row>
    <row r="42" spans="1:13" x14ac:dyDescent="0.25">
      <c r="A42" t="s">
        <v>79</v>
      </c>
      <c r="B42" t="s">
        <v>6</v>
      </c>
      <c r="C42" t="s">
        <v>27</v>
      </c>
      <c r="D42" t="str">
        <f t="shared" si="0"/>
        <v>Emily Wilson</v>
      </c>
      <c r="E42" t="s">
        <v>34</v>
      </c>
      <c r="F42" s="2">
        <v>43181</v>
      </c>
      <c r="G42" s="6">
        <v>86245</v>
      </c>
      <c r="H42">
        <v>71</v>
      </c>
      <c r="I42" t="s">
        <v>22</v>
      </c>
      <c r="J42" t="str">
        <f>VLOOKUP(E42,Lookup_Departments!$A$1:$B$7,2,FALSE)</f>
        <v>Sales</v>
      </c>
      <c r="K42" s="8">
        <f t="shared" ca="1" si="1"/>
        <v>8</v>
      </c>
      <c r="L42" t="str">
        <f>VLOOKUP(H42,Lookup_Performance!$A$1:$D$6,3,TRUE)</f>
        <v>Achieving</v>
      </c>
      <c r="M42" s="6">
        <f>G42*VLOOKUP(H42,Lookup_Performance!$A$1:$D$6,4,TRUE)</f>
        <v>4312.25</v>
      </c>
    </row>
    <row r="43" spans="1:13" x14ac:dyDescent="0.25">
      <c r="A43" t="s">
        <v>80</v>
      </c>
      <c r="B43" t="s">
        <v>81</v>
      </c>
      <c r="C43" t="s">
        <v>11</v>
      </c>
      <c r="D43" t="str">
        <f t="shared" si="0"/>
        <v>David Hernandez</v>
      </c>
      <c r="E43" t="s">
        <v>34</v>
      </c>
      <c r="F43" s="2">
        <v>43958</v>
      </c>
      <c r="G43" s="6">
        <v>52407</v>
      </c>
      <c r="H43">
        <v>55</v>
      </c>
      <c r="I43" t="s">
        <v>35</v>
      </c>
      <c r="J43" t="str">
        <f>VLOOKUP(E43,Lookup_Departments!$A$1:$B$7,2,FALSE)</f>
        <v>Sales</v>
      </c>
      <c r="K43" s="8">
        <f t="shared" ca="1" si="1"/>
        <v>6</v>
      </c>
      <c r="L43" t="str">
        <f>VLOOKUP(H43,Lookup_Performance!$A$1:$D$6,3,TRUE)</f>
        <v>Developing</v>
      </c>
      <c r="M43" s="6">
        <f>G43*VLOOKUP(H43,Lookup_Performance!$A$1:$D$6,4,TRUE)</f>
        <v>1048.1400000000001</v>
      </c>
    </row>
    <row r="44" spans="1:13" x14ac:dyDescent="0.25">
      <c r="A44" t="s">
        <v>82</v>
      </c>
      <c r="B44" t="s">
        <v>50</v>
      </c>
      <c r="C44" t="s">
        <v>21</v>
      </c>
      <c r="D44" t="str">
        <f t="shared" si="0"/>
        <v>James Smith</v>
      </c>
      <c r="E44" t="s">
        <v>25</v>
      </c>
      <c r="F44" s="2">
        <v>43549</v>
      </c>
      <c r="G44" s="6">
        <v>66606</v>
      </c>
      <c r="H44">
        <v>93</v>
      </c>
      <c r="I44" t="s">
        <v>83</v>
      </c>
      <c r="J44" t="str">
        <f>VLOOKUP(E44,Lookup_Departments!$A$1:$B$7,2,FALSE)</f>
        <v>Operations</v>
      </c>
      <c r="K44" s="8">
        <f t="shared" ca="1" si="1"/>
        <v>7</v>
      </c>
      <c r="L44" t="str">
        <f>VLOOKUP(H44,Lookup_Performance!$A$1:$D$6,3,TRUE)</f>
        <v>Exceeding</v>
      </c>
      <c r="M44" s="6">
        <f>G44*VLOOKUP(H44,Lookup_Performance!$A$1:$D$6,4,TRUE)</f>
        <v>5328.4800000000005</v>
      </c>
    </row>
    <row r="45" spans="1:13" x14ac:dyDescent="0.25">
      <c r="A45" t="s">
        <v>84</v>
      </c>
      <c r="B45" t="s">
        <v>69</v>
      </c>
      <c r="C45" t="s">
        <v>41</v>
      </c>
      <c r="D45" t="str">
        <f t="shared" si="0"/>
        <v>Sarah Williams</v>
      </c>
      <c r="E45" t="s">
        <v>8</v>
      </c>
      <c r="F45" s="2">
        <v>43686</v>
      </c>
      <c r="G45" s="6">
        <v>81896</v>
      </c>
      <c r="H45">
        <v>79</v>
      </c>
      <c r="I45" t="s">
        <v>83</v>
      </c>
      <c r="J45" t="str">
        <f>VLOOKUP(E45,Lookup_Departments!$A$1:$B$7,2,FALSE)</f>
        <v>Information Technology</v>
      </c>
      <c r="K45" s="8">
        <f t="shared" ca="1" si="1"/>
        <v>7</v>
      </c>
      <c r="L45" t="str">
        <f>VLOOKUP(H45,Lookup_Performance!$A$1:$D$6,3,TRUE)</f>
        <v>Achieving</v>
      </c>
      <c r="M45" s="6">
        <f>G45*VLOOKUP(H45,Lookup_Performance!$A$1:$D$6,4,TRUE)</f>
        <v>4094.8</v>
      </c>
    </row>
    <row r="46" spans="1:13" x14ac:dyDescent="0.25">
      <c r="A46" t="s">
        <v>85</v>
      </c>
      <c r="B46" t="s">
        <v>55</v>
      </c>
      <c r="C46" t="s">
        <v>53</v>
      </c>
      <c r="D46" t="str">
        <f t="shared" si="0"/>
        <v>Amanda Lopez</v>
      </c>
      <c r="E46" t="s">
        <v>34</v>
      </c>
      <c r="F46" s="2">
        <v>42565</v>
      </c>
      <c r="G46" s="6">
        <v>78402</v>
      </c>
      <c r="H46">
        <v>54</v>
      </c>
      <c r="I46" t="s">
        <v>35</v>
      </c>
      <c r="J46" t="str">
        <f>VLOOKUP(E46,Lookup_Departments!$A$1:$B$7,2,FALSE)</f>
        <v>Sales</v>
      </c>
      <c r="K46" s="8">
        <f t="shared" ca="1" si="1"/>
        <v>10</v>
      </c>
      <c r="L46" t="str">
        <f>VLOOKUP(H46,Lookup_Performance!$A$1:$D$6,3,TRUE)</f>
        <v>Developing</v>
      </c>
      <c r="M46" s="6">
        <f>G46*VLOOKUP(H46,Lookup_Performance!$A$1:$D$6,4,TRUE)</f>
        <v>1568.04</v>
      </c>
    </row>
    <row r="47" spans="1:13" x14ac:dyDescent="0.25">
      <c r="A47" t="s">
        <v>86</v>
      </c>
      <c r="B47" t="s">
        <v>20</v>
      </c>
      <c r="C47" t="s">
        <v>53</v>
      </c>
      <c r="D47" t="str">
        <f t="shared" si="0"/>
        <v>Thomas Lopez</v>
      </c>
      <c r="E47" t="s">
        <v>25</v>
      </c>
      <c r="F47" s="2">
        <v>42647</v>
      </c>
      <c r="G47" s="6">
        <v>105498</v>
      </c>
      <c r="H47">
        <v>76</v>
      </c>
      <c r="I47" t="s">
        <v>35</v>
      </c>
      <c r="J47" t="str">
        <f>VLOOKUP(E47,Lookup_Departments!$A$1:$B$7,2,FALSE)</f>
        <v>Operations</v>
      </c>
      <c r="K47" s="8">
        <f t="shared" ca="1" si="1"/>
        <v>10</v>
      </c>
      <c r="L47" t="str">
        <f>VLOOKUP(H47,Lookup_Performance!$A$1:$D$6,3,TRUE)</f>
        <v>Achieving</v>
      </c>
      <c r="M47" s="6">
        <f>G47*VLOOKUP(H47,Lookup_Performance!$A$1:$D$6,4,TRUE)</f>
        <v>5274.9000000000005</v>
      </c>
    </row>
    <row r="48" spans="1:13" x14ac:dyDescent="0.25">
      <c r="A48" t="s">
        <v>87</v>
      </c>
      <c r="B48" t="s">
        <v>76</v>
      </c>
      <c r="C48" t="s">
        <v>24</v>
      </c>
      <c r="D48" t="str">
        <f t="shared" si="0"/>
        <v>Melissa Johnson</v>
      </c>
      <c r="E48" t="s">
        <v>12</v>
      </c>
      <c r="F48" s="2">
        <v>40378</v>
      </c>
      <c r="G48" s="6">
        <v>91749</v>
      </c>
      <c r="H48">
        <v>72</v>
      </c>
      <c r="I48" t="s">
        <v>22</v>
      </c>
      <c r="J48" t="str">
        <f>VLOOKUP(E48,Lookup_Departments!$A$1:$B$7,2,FALSE)</f>
        <v>Marketing</v>
      </c>
      <c r="K48" s="8">
        <f t="shared" ca="1" si="1"/>
        <v>16</v>
      </c>
      <c r="L48" t="str">
        <f>VLOOKUP(H48,Lookup_Performance!$A$1:$D$6,3,TRUE)</f>
        <v>Achieving</v>
      </c>
      <c r="M48" s="6">
        <f>G48*VLOOKUP(H48,Lookup_Performance!$A$1:$D$6,4,TRUE)</f>
        <v>4587.45</v>
      </c>
    </row>
    <row r="49" spans="1:13" x14ac:dyDescent="0.25">
      <c r="A49" t="s">
        <v>88</v>
      </c>
      <c r="B49" t="s">
        <v>55</v>
      </c>
      <c r="C49" t="s">
        <v>24</v>
      </c>
      <c r="D49" t="str">
        <f t="shared" si="0"/>
        <v>Amanda Johnson</v>
      </c>
      <c r="E49" t="s">
        <v>25</v>
      </c>
      <c r="F49" s="2">
        <v>44437</v>
      </c>
      <c r="G49" s="6">
        <v>99935</v>
      </c>
      <c r="H49">
        <v>84</v>
      </c>
      <c r="I49" t="s">
        <v>83</v>
      </c>
      <c r="J49" t="str">
        <f>VLOOKUP(E49,Lookup_Departments!$A$1:$B$7,2,FALSE)</f>
        <v>Operations</v>
      </c>
      <c r="K49" s="8">
        <f t="shared" ca="1" si="1"/>
        <v>5</v>
      </c>
      <c r="L49" t="str">
        <f>VLOOKUP(H49,Lookup_Performance!$A$1:$D$6,3,TRUE)</f>
        <v>Achieving</v>
      </c>
      <c r="M49" s="6">
        <f>G49*VLOOKUP(H49,Lookup_Performance!$A$1:$D$6,4,TRUE)</f>
        <v>4996.75</v>
      </c>
    </row>
    <row r="50" spans="1:13" x14ac:dyDescent="0.25">
      <c r="A50" t="s">
        <v>89</v>
      </c>
      <c r="B50" t="s">
        <v>16</v>
      </c>
      <c r="C50" t="s">
        <v>48</v>
      </c>
      <c r="D50" t="str">
        <f t="shared" si="0"/>
        <v>John Davis</v>
      </c>
      <c r="E50" t="s">
        <v>8</v>
      </c>
      <c r="F50" s="2">
        <v>42761</v>
      </c>
      <c r="G50" s="6">
        <v>83531</v>
      </c>
      <c r="H50">
        <v>30</v>
      </c>
      <c r="I50" t="s">
        <v>22</v>
      </c>
      <c r="J50" t="str">
        <f>VLOOKUP(E50,Lookup_Departments!$A$1:$B$7,2,FALSE)</f>
        <v>Information Technology</v>
      </c>
      <c r="K50" s="8">
        <f t="shared" ca="1" si="1"/>
        <v>9</v>
      </c>
      <c r="L50" t="str">
        <f>VLOOKUP(H50,Lookup_Performance!$A$1:$D$6,3,TRUE)</f>
        <v>Needs Improvement</v>
      </c>
      <c r="M50" s="6">
        <f>G50*VLOOKUP(H50,Lookup_Performance!$A$1:$D$6,4,TRUE)</f>
        <v>0</v>
      </c>
    </row>
    <row r="51" spans="1:13" x14ac:dyDescent="0.25">
      <c r="A51" t="s">
        <v>90</v>
      </c>
      <c r="B51" t="s">
        <v>50</v>
      </c>
      <c r="C51" t="s">
        <v>24</v>
      </c>
      <c r="D51" t="str">
        <f t="shared" si="0"/>
        <v>James Johnson</v>
      </c>
      <c r="E51" t="s">
        <v>12</v>
      </c>
      <c r="F51" s="2">
        <v>43981</v>
      </c>
      <c r="G51" s="6">
        <v>75023</v>
      </c>
      <c r="H51">
        <v>70</v>
      </c>
      <c r="I51" t="s">
        <v>35</v>
      </c>
      <c r="J51" t="str">
        <f>VLOOKUP(E51,Lookup_Departments!$A$1:$B$7,2,FALSE)</f>
        <v>Marketing</v>
      </c>
      <c r="K51" s="8">
        <f t="shared" ca="1" si="1"/>
        <v>6</v>
      </c>
      <c r="L51" t="str">
        <f>VLOOKUP(H51,Lookup_Performance!$A$1:$D$6,3,TRUE)</f>
        <v>Achieving</v>
      </c>
      <c r="M51" s="6">
        <f>G51*VLOOKUP(H51,Lookup_Performance!$A$1:$D$6,4,TRUE)</f>
        <v>3751.15</v>
      </c>
    </row>
    <row r="52" spans="1:13" x14ac:dyDescent="0.25">
      <c r="A52" t="s">
        <v>91</v>
      </c>
      <c r="B52" t="s">
        <v>40</v>
      </c>
      <c r="C52" t="s">
        <v>48</v>
      </c>
      <c r="D52" t="str">
        <f t="shared" si="0"/>
        <v>Jane Davis</v>
      </c>
      <c r="E52" t="s">
        <v>71</v>
      </c>
      <c r="F52" s="2">
        <v>44612</v>
      </c>
      <c r="G52" s="6">
        <v>93290</v>
      </c>
      <c r="H52">
        <v>53</v>
      </c>
      <c r="I52" t="s">
        <v>35</v>
      </c>
      <c r="J52" t="str">
        <f>VLOOKUP(E52,Lookup_Departments!$A$1:$B$7,2,FALSE)</f>
        <v>Human Resources</v>
      </c>
      <c r="K52" s="8">
        <f t="shared" ca="1" si="1"/>
        <v>4</v>
      </c>
      <c r="L52" t="str">
        <f>VLOOKUP(H52,Lookup_Performance!$A$1:$D$6,3,TRUE)</f>
        <v>Developing</v>
      </c>
      <c r="M52" s="6">
        <f>G52*VLOOKUP(H52,Lookup_Performance!$A$1:$D$6,4,TRUE)</f>
        <v>1865.8</v>
      </c>
    </row>
    <row r="53" spans="1:13" x14ac:dyDescent="0.25">
      <c r="A53" t="s">
        <v>92</v>
      </c>
      <c r="B53" t="s">
        <v>10</v>
      </c>
      <c r="C53" t="s">
        <v>48</v>
      </c>
      <c r="D53" t="str">
        <f t="shared" si="0"/>
        <v>Richard Davis</v>
      </c>
      <c r="E53" t="s">
        <v>25</v>
      </c>
      <c r="F53" s="2">
        <v>42628</v>
      </c>
      <c r="G53" s="6">
        <v>115527</v>
      </c>
      <c r="H53">
        <v>63</v>
      </c>
      <c r="I53" t="s">
        <v>83</v>
      </c>
      <c r="J53" t="str">
        <f>VLOOKUP(E53,Lookup_Departments!$A$1:$B$7,2,FALSE)</f>
        <v>Operations</v>
      </c>
      <c r="K53" s="8">
        <f t="shared" ca="1" si="1"/>
        <v>10</v>
      </c>
      <c r="L53" t="str">
        <f>VLOOKUP(H53,Lookup_Performance!$A$1:$D$6,3,TRUE)</f>
        <v>Developing</v>
      </c>
      <c r="M53" s="6">
        <f>G53*VLOOKUP(H53,Lookup_Performance!$A$1:$D$6,4,TRUE)</f>
        <v>2310.54</v>
      </c>
    </row>
    <row r="54" spans="1:13" x14ac:dyDescent="0.25">
      <c r="A54" t="s">
        <v>93</v>
      </c>
      <c r="B54" t="s">
        <v>20</v>
      </c>
      <c r="C54" t="s">
        <v>31</v>
      </c>
      <c r="D54" t="str">
        <f t="shared" si="0"/>
        <v>Thomas Rodriguez</v>
      </c>
      <c r="E54" t="s">
        <v>18</v>
      </c>
      <c r="F54" s="2">
        <v>43745</v>
      </c>
      <c r="G54" s="6">
        <v>55920</v>
      </c>
      <c r="H54">
        <v>84</v>
      </c>
      <c r="I54" t="s">
        <v>35</v>
      </c>
      <c r="J54" t="str">
        <f>VLOOKUP(E54,Lookup_Departments!$A$1:$B$7,2,FALSE)</f>
        <v>Finance</v>
      </c>
      <c r="K54" s="8">
        <f t="shared" ca="1" si="1"/>
        <v>7</v>
      </c>
      <c r="L54" t="str">
        <f>VLOOKUP(H54,Lookup_Performance!$A$1:$D$6,3,TRUE)</f>
        <v>Achieving</v>
      </c>
      <c r="M54" s="6">
        <f>G54*VLOOKUP(H54,Lookup_Performance!$A$1:$D$6,4,TRUE)</f>
        <v>2796</v>
      </c>
    </row>
    <row r="55" spans="1:13" x14ac:dyDescent="0.25">
      <c r="A55" t="s">
        <v>94</v>
      </c>
      <c r="B55" t="s">
        <v>6</v>
      </c>
      <c r="C55" t="s">
        <v>24</v>
      </c>
      <c r="D55" t="str">
        <f t="shared" si="0"/>
        <v>Emily Johnson</v>
      </c>
      <c r="E55" t="s">
        <v>34</v>
      </c>
      <c r="F55" s="2">
        <v>43464</v>
      </c>
      <c r="G55" s="6">
        <v>80189</v>
      </c>
      <c r="H55">
        <v>30</v>
      </c>
      <c r="I55" t="s">
        <v>35</v>
      </c>
      <c r="J55" t="str">
        <f>VLOOKUP(E55,Lookup_Departments!$A$1:$B$7,2,FALSE)</f>
        <v>Sales</v>
      </c>
      <c r="K55" s="8">
        <f t="shared" ca="1" si="1"/>
        <v>8</v>
      </c>
      <c r="L55" t="str">
        <f>VLOOKUP(H55,Lookup_Performance!$A$1:$D$6,3,TRUE)</f>
        <v>Needs Improvement</v>
      </c>
      <c r="M55" s="6">
        <f>G55*VLOOKUP(H55,Lookup_Performance!$A$1:$D$6,4,TRUE)</f>
        <v>0</v>
      </c>
    </row>
    <row r="56" spans="1:13" x14ac:dyDescent="0.25">
      <c r="A56" t="s">
        <v>95</v>
      </c>
      <c r="B56" t="s">
        <v>6</v>
      </c>
      <c r="C56" t="s">
        <v>96</v>
      </c>
      <c r="D56" t="str">
        <f t="shared" si="0"/>
        <v>Emily Garcia</v>
      </c>
      <c r="E56" t="s">
        <v>71</v>
      </c>
      <c r="F56" s="2">
        <v>44189</v>
      </c>
      <c r="G56" s="6">
        <v>118947</v>
      </c>
      <c r="H56">
        <v>96</v>
      </c>
      <c r="I56" t="s">
        <v>35</v>
      </c>
      <c r="J56" t="str">
        <f>VLOOKUP(E56,Lookup_Departments!$A$1:$B$7,2,FALSE)</f>
        <v>Human Resources</v>
      </c>
      <c r="K56" s="8">
        <f t="shared" ca="1" si="1"/>
        <v>6</v>
      </c>
      <c r="L56" t="str">
        <f>VLOOKUP(H56,Lookup_Performance!$A$1:$D$6,3,TRUE)</f>
        <v>Outstanding</v>
      </c>
      <c r="M56" s="6">
        <f>G56*VLOOKUP(H56,Lookup_Performance!$A$1:$D$6,4,TRUE)</f>
        <v>14273.64</v>
      </c>
    </row>
    <row r="57" spans="1:13" x14ac:dyDescent="0.25">
      <c r="A57" t="s">
        <v>97</v>
      </c>
      <c r="B57" t="s">
        <v>40</v>
      </c>
      <c r="C57" t="s">
        <v>98</v>
      </c>
      <c r="D57" t="str">
        <f t="shared" si="0"/>
        <v>Jane Anderson</v>
      </c>
      <c r="E57" t="s">
        <v>8</v>
      </c>
      <c r="F57" s="2">
        <v>45112</v>
      </c>
      <c r="G57" s="6">
        <v>82713.429999999993</v>
      </c>
      <c r="H57">
        <v>54</v>
      </c>
      <c r="I57" t="s">
        <v>35</v>
      </c>
      <c r="J57" t="str">
        <f>VLOOKUP(E57,Lookup_Departments!$A$1:$B$7,2,FALSE)</f>
        <v>Information Technology</v>
      </c>
      <c r="K57" s="8">
        <f t="shared" ca="1" si="1"/>
        <v>3</v>
      </c>
      <c r="L57" t="str">
        <f>VLOOKUP(H57,Lookup_Performance!$A$1:$D$6,3,TRUE)</f>
        <v>Developing</v>
      </c>
      <c r="M57" s="6">
        <f>G57*VLOOKUP(H57,Lookup_Performance!$A$1:$D$6,4,TRUE)</f>
        <v>1654.2685999999999</v>
      </c>
    </row>
    <row r="58" spans="1:13" x14ac:dyDescent="0.25">
      <c r="A58" t="s">
        <v>99</v>
      </c>
      <c r="B58" t="s">
        <v>20</v>
      </c>
      <c r="C58" t="s">
        <v>96</v>
      </c>
      <c r="D58" t="str">
        <f t="shared" si="0"/>
        <v>Thomas Garcia</v>
      </c>
      <c r="E58" t="s">
        <v>25</v>
      </c>
      <c r="F58" s="2">
        <v>44148</v>
      </c>
      <c r="G58" s="6">
        <v>82713.429999999993</v>
      </c>
      <c r="H58">
        <v>75</v>
      </c>
      <c r="I58" t="s">
        <v>35</v>
      </c>
      <c r="J58" t="str">
        <f>VLOOKUP(E58,Lookup_Departments!$A$1:$B$7,2,FALSE)</f>
        <v>Operations</v>
      </c>
      <c r="K58" s="8">
        <f t="shared" ca="1" si="1"/>
        <v>6</v>
      </c>
      <c r="L58" t="str">
        <f>VLOOKUP(H58,Lookup_Performance!$A$1:$D$6,3,TRUE)</f>
        <v>Achieving</v>
      </c>
      <c r="M58" s="6">
        <f>G58*VLOOKUP(H58,Lookup_Performance!$A$1:$D$6,4,TRUE)</f>
        <v>4135.6714999999995</v>
      </c>
    </row>
    <row r="59" spans="1:13" x14ac:dyDescent="0.25">
      <c r="A59" t="s">
        <v>100</v>
      </c>
      <c r="B59" t="s">
        <v>81</v>
      </c>
      <c r="C59" t="s">
        <v>17</v>
      </c>
      <c r="D59" t="str">
        <f t="shared" si="0"/>
        <v>David Martinez</v>
      </c>
      <c r="E59" t="s">
        <v>71</v>
      </c>
      <c r="F59" s="2">
        <v>43138</v>
      </c>
      <c r="G59" s="6">
        <v>91655</v>
      </c>
      <c r="H59">
        <v>95</v>
      </c>
      <c r="I59" t="s">
        <v>35</v>
      </c>
      <c r="J59" t="str">
        <f>VLOOKUP(E59,Lookup_Departments!$A$1:$B$7,2,FALSE)</f>
        <v>Human Resources</v>
      </c>
      <c r="K59" s="8">
        <f t="shared" ca="1" si="1"/>
        <v>8</v>
      </c>
      <c r="L59" t="str">
        <f>VLOOKUP(H59,Lookup_Performance!$A$1:$D$6,3,TRUE)</f>
        <v>Outstanding</v>
      </c>
      <c r="M59" s="6">
        <f>G59*VLOOKUP(H59,Lookup_Performance!$A$1:$D$6,4,TRUE)</f>
        <v>10998.6</v>
      </c>
    </row>
    <row r="60" spans="1:13" x14ac:dyDescent="0.25">
      <c r="A60" t="s">
        <v>101</v>
      </c>
      <c r="B60" t="s">
        <v>6</v>
      </c>
      <c r="C60" t="s">
        <v>7</v>
      </c>
      <c r="D60" t="str">
        <f t="shared" si="0"/>
        <v>Emily Brown</v>
      </c>
      <c r="E60" t="s">
        <v>8</v>
      </c>
      <c r="F60" s="2">
        <v>45255</v>
      </c>
      <c r="G60" s="6">
        <v>49435</v>
      </c>
      <c r="H60">
        <v>70</v>
      </c>
      <c r="I60" t="s">
        <v>22</v>
      </c>
      <c r="J60" t="str">
        <f>VLOOKUP(E60,Lookup_Departments!$A$1:$B$7,2,FALSE)</f>
        <v>Information Technology</v>
      </c>
      <c r="K60" s="8">
        <f t="shared" ca="1" si="1"/>
        <v>3</v>
      </c>
      <c r="L60" t="str">
        <f>VLOOKUP(H60,Lookup_Performance!$A$1:$D$6,3,TRUE)</f>
        <v>Achieving</v>
      </c>
      <c r="M60" s="6">
        <f>G60*VLOOKUP(H60,Lookup_Performance!$A$1:$D$6,4,TRUE)</f>
        <v>2471.75</v>
      </c>
    </row>
    <row r="61" spans="1:13" x14ac:dyDescent="0.25">
      <c r="A61" t="s">
        <v>102</v>
      </c>
      <c r="B61" t="s">
        <v>6</v>
      </c>
      <c r="C61" t="s">
        <v>27</v>
      </c>
      <c r="D61" t="str">
        <f t="shared" si="0"/>
        <v>Emily Wilson</v>
      </c>
      <c r="E61" t="s">
        <v>34</v>
      </c>
      <c r="F61" s="2">
        <v>45217</v>
      </c>
      <c r="G61" s="6">
        <v>110381</v>
      </c>
      <c r="H61">
        <v>93</v>
      </c>
      <c r="I61" t="s">
        <v>35</v>
      </c>
      <c r="J61" t="str">
        <f>VLOOKUP(E61,Lookup_Departments!$A$1:$B$7,2,FALSE)</f>
        <v>Sales</v>
      </c>
      <c r="K61" s="8">
        <f t="shared" ca="1" si="1"/>
        <v>3</v>
      </c>
      <c r="L61" t="str">
        <f>VLOOKUP(H61,Lookup_Performance!$A$1:$D$6,3,TRUE)</f>
        <v>Exceeding</v>
      </c>
      <c r="M61" s="6">
        <f>G61*VLOOKUP(H61,Lookup_Performance!$A$1:$D$6,4,TRUE)</f>
        <v>8830.48</v>
      </c>
    </row>
    <row r="62" spans="1:13" x14ac:dyDescent="0.25">
      <c r="A62" t="s">
        <v>103</v>
      </c>
      <c r="B62" t="s">
        <v>33</v>
      </c>
      <c r="C62" t="s">
        <v>98</v>
      </c>
      <c r="D62" t="str">
        <f t="shared" si="0"/>
        <v>Michael Anderson</v>
      </c>
      <c r="E62" t="s">
        <v>71</v>
      </c>
      <c r="F62" s="2">
        <v>44079</v>
      </c>
      <c r="G62" s="6">
        <v>114748</v>
      </c>
      <c r="H62">
        <v>33</v>
      </c>
      <c r="I62" t="s">
        <v>35</v>
      </c>
      <c r="J62" t="str">
        <f>VLOOKUP(E62,Lookup_Departments!$A$1:$B$7,2,FALSE)</f>
        <v>Human Resources</v>
      </c>
      <c r="K62" s="8">
        <f t="shared" ca="1" si="1"/>
        <v>6</v>
      </c>
      <c r="L62" t="str">
        <f>VLOOKUP(H62,Lookup_Performance!$A$1:$D$6,3,TRUE)</f>
        <v>Needs Improvement</v>
      </c>
      <c r="M62" s="6">
        <f>G62*VLOOKUP(H62,Lookup_Performance!$A$1:$D$6,4,TRUE)</f>
        <v>0</v>
      </c>
    </row>
    <row r="63" spans="1:13" x14ac:dyDescent="0.25">
      <c r="A63" t="s">
        <v>104</v>
      </c>
      <c r="B63" t="s">
        <v>44</v>
      </c>
      <c r="C63" t="s">
        <v>24</v>
      </c>
      <c r="D63" t="str">
        <f t="shared" si="0"/>
        <v>Robert Johnson</v>
      </c>
      <c r="E63" t="s">
        <v>25</v>
      </c>
      <c r="F63" s="2">
        <v>42800</v>
      </c>
      <c r="G63" s="6">
        <v>63302</v>
      </c>
      <c r="H63">
        <v>91</v>
      </c>
      <c r="I63" t="s">
        <v>35</v>
      </c>
      <c r="J63" t="str">
        <f>VLOOKUP(E63,Lookup_Departments!$A$1:$B$7,2,FALSE)</f>
        <v>Operations</v>
      </c>
      <c r="K63" s="8">
        <f t="shared" ca="1" si="1"/>
        <v>9</v>
      </c>
      <c r="L63" t="str">
        <f>VLOOKUP(H63,Lookup_Performance!$A$1:$D$6,3,TRUE)</f>
        <v>Exceeding</v>
      </c>
      <c r="M63" s="6">
        <f>G63*VLOOKUP(H63,Lookup_Performance!$A$1:$D$6,4,TRUE)</f>
        <v>5064.16</v>
      </c>
    </row>
    <row r="64" spans="1:13" x14ac:dyDescent="0.25">
      <c r="A64" t="s">
        <v>105</v>
      </c>
      <c r="B64" t="s">
        <v>44</v>
      </c>
      <c r="C64" t="s">
        <v>37</v>
      </c>
      <c r="D64" t="str">
        <f t="shared" si="0"/>
        <v>Robert Miller</v>
      </c>
      <c r="E64" t="s">
        <v>8</v>
      </c>
      <c r="F64" s="2">
        <v>42122</v>
      </c>
      <c r="G64" s="6">
        <v>75519</v>
      </c>
      <c r="H64">
        <v>64</v>
      </c>
      <c r="I64" t="s">
        <v>35</v>
      </c>
      <c r="J64" t="str">
        <f>VLOOKUP(E64,Lookup_Departments!$A$1:$B$7,2,FALSE)</f>
        <v>Information Technology</v>
      </c>
      <c r="K64" s="8">
        <f t="shared" ca="1" si="1"/>
        <v>11</v>
      </c>
      <c r="L64" t="str">
        <f>VLOOKUP(H64,Lookup_Performance!$A$1:$D$6,3,TRUE)</f>
        <v>Developing</v>
      </c>
      <c r="M64" s="6">
        <f>G64*VLOOKUP(H64,Lookup_Performance!$A$1:$D$6,4,TRUE)</f>
        <v>1510.38</v>
      </c>
    </row>
    <row r="65" spans="1:13" x14ac:dyDescent="0.25">
      <c r="A65" t="s">
        <v>106</v>
      </c>
      <c r="B65" t="s">
        <v>40</v>
      </c>
      <c r="C65" t="s">
        <v>48</v>
      </c>
      <c r="D65" t="str">
        <f t="shared" si="0"/>
        <v>Jane Davis</v>
      </c>
      <c r="E65" t="s">
        <v>18</v>
      </c>
      <c r="F65" s="2">
        <v>42838</v>
      </c>
      <c r="G65" s="6">
        <v>103891</v>
      </c>
      <c r="H65">
        <v>80</v>
      </c>
      <c r="I65" t="s">
        <v>35</v>
      </c>
      <c r="J65" t="str">
        <f>VLOOKUP(E65,Lookup_Departments!$A$1:$B$7,2,FALSE)</f>
        <v>Finance</v>
      </c>
      <c r="K65" s="8">
        <f t="shared" ca="1" si="1"/>
        <v>9</v>
      </c>
      <c r="L65" t="str">
        <f>VLOOKUP(H65,Lookup_Performance!$A$1:$D$6,3,TRUE)</f>
        <v>Achieving</v>
      </c>
      <c r="M65" s="6">
        <f>G65*VLOOKUP(H65,Lookup_Performance!$A$1:$D$6,4,TRUE)</f>
        <v>5194.55</v>
      </c>
    </row>
    <row r="66" spans="1:13" x14ac:dyDescent="0.25">
      <c r="A66" t="s">
        <v>107</v>
      </c>
      <c r="B66" t="s">
        <v>20</v>
      </c>
      <c r="C66" t="s">
        <v>48</v>
      </c>
      <c r="D66" t="str">
        <f t="shared" si="0"/>
        <v>Thomas Davis</v>
      </c>
      <c r="E66" t="s">
        <v>25</v>
      </c>
      <c r="F66" s="2">
        <v>44827</v>
      </c>
      <c r="G66" s="6">
        <v>82713.429999999993</v>
      </c>
      <c r="H66">
        <v>46</v>
      </c>
      <c r="I66" t="s">
        <v>22</v>
      </c>
      <c r="J66" t="str">
        <f>VLOOKUP(E66,Lookup_Departments!$A$1:$B$7,2,FALSE)</f>
        <v>Operations</v>
      </c>
      <c r="K66" s="8">
        <f t="shared" ca="1" si="1"/>
        <v>4</v>
      </c>
      <c r="L66" t="str">
        <f>VLOOKUP(H66,Lookup_Performance!$A$1:$D$6,3,TRUE)</f>
        <v>Needs Improvement</v>
      </c>
      <c r="M66" s="6">
        <f>G66*VLOOKUP(H66,Lookup_Performance!$A$1:$D$6,4,TRUE)</f>
        <v>0</v>
      </c>
    </row>
    <row r="67" spans="1:13" x14ac:dyDescent="0.25">
      <c r="A67" t="s">
        <v>108</v>
      </c>
      <c r="B67" t="s">
        <v>20</v>
      </c>
      <c r="C67" t="s">
        <v>45</v>
      </c>
      <c r="D67" t="str">
        <f t="shared" ref="D67:D130" si="2">CONCATENATE(B67," ",C67)</f>
        <v>Thomas Jones</v>
      </c>
      <c r="E67" t="s">
        <v>12</v>
      </c>
      <c r="F67" s="2">
        <v>42685</v>
      </c>
      <c r="G67" s="6">
        <v>50936</v>
      </c>
      <c r="H67">
        <v>99</v>
      </c>
      <c r="I67" t="s">
        <v>35</v>
      </c>
      <c r="J67" t="str">
        <f>VLOOKUP(E67,Lookup_Departments!$A$1:$B$7,2,FALSE)</f>
        <v>Marketing</v>
      </c>
      <c r="K67" s="8">
        <f t="shared" ref="K67:K130" ca="1" si="3">YEAR(TODAY())-YEAR(F:F)</f>
        <v>10</v>
      </c>
      <c r="L67" t="str">
        <f>VLOOKUP(H67,Lookup_Performance!$A$1:$D$6,3,TRUE)</f>
        <v>Outstanding</v>
      </c>
      <c r="M67" s="6">
        <f>G67*VLOOKUP(H67,Lookup_Performance!$A$1:$D$6,4,TRUE)</f>
        <v>6112.32</v>
      </c>
    </row>
    <row r="68" spans="1:13" x14ac:dyDescent="0.25">
      <c r="A68" t="s">
        <v>109</v>
      </c>
      <c r="B68" t="s">
        <v>33</v>
      </c>
      <c r="C68" t="s">
        <v>37</v>
      </c>
      <c r="D68" t="str">
        <f t="shared" si="2"/>
        <v>Michael Miller</v>
      </c>
      <c r="E68" t="s">
        <v>34</v>
      </c>
      <c r="F68" s="2">
        <v>45368</v>
      </c>
      <c r="G68" s="6">
        <v>111240</v>
      </c>
      <c r="H68">
        <v>70</v>
      </c>
      <c r="I68" t="s">
        <v>35</v>
      </c>
      <c r="J68" t="str">
        <f>VLOOKUP(E68,Lookup_Departments!$A$1:$B$7,2,FALSE)</f>
        <v>Sales</v>
      </c>
      <c r="K68" s="8">
        <f t="shared" ca="1" si="3"/>
        <v>2</v>
      </c>
      <c r="L68" t="str">
        <f>VLOOKUP(H68,Lookup_Performance!$A$1:$D$6,3,TRUE)</f>
        <v>Achieving</v>
      </c>
      <c r="M68" s="6">
        <f>G68*VLOOKUP(H68,Lookup_Performance!$A$1:$D$6,4,TRUE)</f>
        <v>5562</v>
      </c>
    </row>
    <row r="69" spans="1:13" x14ac:dyDescent="0.25">
      <c r="A69" t="s">
        <v>110</v>
      </c>
      <c r="B69" t="s">
        <v>10</v>
      </c>
      <c r="C69" t="s">
        <v>14</v>
      </c>
      <c r="D69" t="str">
        <f t="shared" si="2"/>
        <v>Richard Gonzalez</v>
      </c>
      <c r="E69" t="s">
        <v>71</v>
      </c>
      <c r="F69" s="2">
        <v>38491</v>
      </c>
      <c r="G69" s="6">
        <v>51567</v>
      </c>
      <c r="H69">
        <v>87</v>
      </c>
      <c r="I69" t="s">
        <v>83</v>
      </c>
      <c r="J69" t="str">
        <f>VLOOKUP(E69,Lookup_Departments!$A$1:$B$7,2,FALSE)</f>
        <v>Human Resources</v>
      </c>
      <c r="K69" s="8">
        <f t="shared" ca="1" si="3"/>
        <v>21</v>
      </c>
      <c r="L69" t="str">
        <f>VLOOKUP(H69,Lookup_Performance!$A$1:$D$6,3,TRUE)</f>
        <v>Exceeding</v>
      </c>
      <c r="M69" s="6">
        <f>G69*VLOOKUP(H69,Lookup_Performance!$A$1:$D$6,4,TRUE)</f>
        <v>4125.3599999999997</v>
      </c>
    </row>
    <row r="70" spans="1:13" x14ac:dyDescent="0.25">
      <c r="A70" t="s">
        <v>111</v>
      </c>
      <c r="B70" t="s">
        <v>76</v>
      </c>
      <c r="C70" t="s">
        <v>41</v>
      </c>
      <c r="D70" t="str">
        <f t="shared" si="2"/>
        <v>Melissa Williams</v>
      </c>
      <c r="E70" t="s">
        <v>71</v>
      </c>
      <c r="F70" s="2">
        <v>44402</v>
      </c>
      <c r="G70" s="6">
        <v>82713.429999999993</v>
      </c>
      <c r="H70">
        <v>36</v>
      </c>
      <c r="I70" t="s">
        <v>35</v>
      </c>
      <c r="J70" t="str">
        <f>VLOOKUP(E70,Lookup_Departments!$A$1:$B$7,2,FALSE)</f>
        <v>Human Resources</v>
      </c>
      <c r="K70" s="8">
        <f t="shared" ca="1" si="3"/>
        <v>5</v>
      </c>
      <c r="L70" t="str">
        <f>VLOOKUP(H70,Lookup_Performance!$A$1:$D$6,3,TRUE)</f>
        <v>Needs Improvement</v>
      </c>
      <c r="M70" s="6">
        <f>G70*VLOOKUP(H70,Lookup_Performance!$A$1:$D$6,4,TRUE)</f>
        <v>0</v>
      </c>
    </row>
    <row r="71" spans="1:13" x14ac:dyDescent="0.25">
      <c r="A71" t="s">
        <v>112</v>
      </c>
      <c r="B71" t="s">
        <v>44</v>
      </c>
      <c r="C71" t="s">
        <v>37</v>
      </c>
      <c r="D71" t="str">
        <f t="shared" si="2"/>
        <v>Robert Miller</v>
      </c>
      <c r="E71" t="s">
        <v>71</v>
      </c>
      <c r="F71" s="2">
        <v>43008</v>
      </c>
      <c r="G71" s="6">
        <v>55270</v>
      </c>
      <c r="H71">
        <v>87</v>
      </c>
      <c r="I71" t="s">
        <v>35</v>
      </c>
      <c r="J71" t="str">
        <f>VLOOKUP(E71,Lookup_Departments!$A$1:$B$7,2,FALSE)</f>
        <v>Human Resources</v>
      </c>
      <c r="K71" s="8">
        <f t="shared" ca="1" si="3"/>
        <v>9</v>
      </c>
      <c r="L71" t="str">
        <f>VLOOKUP(H71,Lookup_Performance!$A$1:$D$6,3,TRUE)</f>
        <v>Exceeding</v>
      </c>
      <c r="M71" s="6">
        <f>G71*VLOOKUP(H71,Lookup_Performance!$A$1:$D$6,4,TRUE)</f>
        <v>4421.6000000000004</v>
      </c>
    </row>
    <row r="72" spans="1:13" x14ac:dyDescent="0.25">
      <c r="A72" t="s">
        <v>113</v>
      </c>
      <c r="B72" t="s">
        <v>114</v>
      </c>
      <c r="C72" t="s">
        <v>96</v>
      </c>
      <c r="D72" t="str">
        <f t="shared" si="2"/>
        <v>William Garcia</v>
      </c>
      <c r="E72" t="s">
        <v>34</v>
      </c>
      <c r="F72" s="2">
        <v>42192</v>
      </c>
      <c r="G72" s="6">
        <v>65235</v>
      </c>
      <c r="H72">
        <v>97</v>
      </c>
      <c r="I72" t="s">
        <v>35</v>
      </c>
      <c r="J72" t="str">
        <f>VLOOKUP(E72,Lookup_Departments!$A$1:$B$7,2,FALSE)</f>
        <v>Sales</v>
      </c>
      <c r="K72" s="8">
        <f t="shared" ca="1" si="3"/>
        <v>11</v>
      </c>
      <c r="L72" t="str">
        <f>VLOOKUP(H72,Lookup_Performance!$A$1:$D$6,3,TRUE)</f>
        <v>Outstanding</v>
      </c>
      <c r="M72" s="6">
        <f>G72*VLOOKUP(H72,Lookup_Performance!$A$1:$D$6,4,TRUE)</f>
        <v>7828.2</v>
      </c>
    </row>
    <row r="73" spans="1:13" x14ac:dyDescent="0.25">
      <c r="A73" t="s">
        <v>115</v>
      </c>
      <c r="B73" t="s">
        <v>16</v>
      </c>
      <c r="C73" t="s">
        <v>14</v>
      </c>
      <c r="D73" t="str">
        <f t="shared" si="2"/>
        <v>John Gonzalez</v>
      </c>
      <c r="E73" t="s">
        <v>34</v>
      </c>
      <c r="F73" s="2">
        <v>43283</v>
      </c>
      <c r="G73" s="6">
        <v>82713.429999999993</v>
      </c>
      <c r="H73">
        <v>72</v>
      </c>
      <c r="I73" t="s">
        <v>22</v>
      </c>
      <c r="J73" t="str">
        <f>VLOOKUP(E73,Lookup_Departments!$A$1:$B$7,2,FALSE)</f>
        <v>Sales</v>
      </c>
      <c r="K73" s="8">
        <f t="shared" ca="1" si="3"/>
        <v>8</v>
      </c>
      <c r="L73" t="str">
        <f>VLOOKUP(H73,Lookup_Performance!$A$1:$D$6,3,TRUE)</f>
        <v>Achieving</v>
      </c>
      <c r="M73" s="6">
        <f>G73*VLOOKUP(H73,Lookup_Performance!$A$1:$D$6,4,TRUE)</f>
        <v>4135.6714999999995</v>
      </c>
    </row>
    <row r="74" spans="1:13" x14ac:dyDescent="0.25">
      <c r="A74" t="s">
        <v>116</v>
      </c>
      <c r="B74" t="s">
        <v>50</v>
      </c>
      <c r="C74" t="s">
        <v>14</v>
      </c>
      <c r="D74" t="str">
        <f t="shared" si="2"/>
        <v>James Gonzalez</v>
      </c>
      <c r="E74" t="s">
        <v>34</v>
      </c>
      <c r="F74" s="2">
        <v>44819</v>
      </c>
      <c r="G74" s="6">
        <v>82713.429999999993</v>
      </c>
      <c r="H74">
        <v>65</v>
      </c>
      <c r="I74" t="s">
        <v>22</v>
      </c>
      <c r="J74" t="str">
        <f>VLOOKUP(E74,Lookup_Departments!$A$1:$B$7,2,FALSE)</f>
        <v>Sales</v>
      </c>
      <c r="K74" s="8">
        <f t="shared" ca="1" si="3"/>
        <v>4</v>
      </c>
      <c r="L74" t="str">
        <f>VLOOKUP(H74,Lookup_Performance!$A$1:$D$6,3,TRUE)</f>
        <v>Developing</v>
      </c>
      <c r="M74" s="6">
        <f>G74*VLOOKUP(H74,Lookup_Performance!$A$1:$D$6,4,TRUE)</f>
        <v>1654.2685999999999</v>
      </c>
    </row>
    <row r="75" spans="1:13" x14ac:dyDescent="0.25">
      <c r="A75" t="s">
        <v>117</v>
      </c>
      <c r="B75" t="s">
        <v>40</v>
      </c>
      <c r="C75" t="s">
        <v>14</v>
      </c>
      <c r="D75" t="str">
        <f t="shared" si="2"/>
        <v>Jane Gonzalez</v>
      </c>
      <c r="E75" t="s">
        <v>34</v>
      </c>
      <c r="F75" s="2">
        <v>42249</v>
      </c>
      <c r="G75" s="6">
        <v>82713.429999999993</v>
      </c>
      <c r="H75">
        <v>67</v>
      </c>
      <c r="I75" t="s">
        <v>35</v>
      </c>
      <c r="J75" t="str">
        <f>VLOOKUP(E75,Lookup_Departments!$A$1:$B$7,2,FALSE)</f>
        <v>Sales</v>
      </c>
      <c r="K75" s="8">
        <f t="shared" ca="1" si="3"/>
        <v>11</v>
      </c>
      <c r="L75" t="str">
        <f>VLOOKUP(H75,Lookup_Performance!$A$1:$D$6,3,TRUE)</f>
        <v>Developing</v>
      </c>
      <c r="M75" s="6">
        <f>G75*VLOOKUP(H75,Lookup_Performance!$A$1:$D$6,4,TRUE)</f>
        <v>1654.2685999999999</v>
      </c>
    </row>
    <row r="76" spans="1:13" x14ac:dyDescent="0.25">
      <c r="A76" t="s">
        <v>118</v>
      </c>
      <c r="B76" t="s">
        <v>81</v>
      </c>
      <c r="C76" t="s">
        <v>27</v>
      </c>
      <c r="D76" t="str">
        <f t="shared" si="2"/>
        <v>David Wilson</v>
      </c>
      <c r="E76" t="s">
        <v>25</v>
      </c>
      <c r="F76" s="2">
        <v>40832</v>
      </c>
      <c r="G76" s="6">
        <v>48823</v>
      </c>
      <c r="H76">
        <v>34</v>
      </c>
      <c r="I76" t="s">
        <v>35</v>
      </c>
      <c r="J76" t="str">
        <f>VLOOKUP(E76,Lookup_Departments!$A$1:$B$7,2,FALSE)</f>
        <v>Operations</v>
      </c>
      <c r="K76" s="8">
        <f t="shared" ca="1" si="3"/>
        <v>15</v>
      </c>
      <c r="L76" t="str">
        <f>VLOOKUP(H76,Lookup_Performance!$A$1:$D$6,3,TRUE)</f>
        <v>Needs Improvement</v>
      </c>
      <c r="M76" s="6">
        <f>G76*VLOOKUP(H76,Lookup_Performance!$A$1:$D$6,4,TRUE)</f>
        <v>0</v>
      </c>
    </row>
    <row r="77" spans="1:13" x14ac:dyDescent="0.25">
      <c r="A77" t="s">
        <v>119</v>
      </c>
      <c r="B77" t="s">
        <v>40</v>
      </c>
      <c r="C77" t="s">
        <v>14</v>
      </c>
      <c r="D77" t="str">
        <f t="shared" si="2"/>
        <v>Jane Gonzalez</v>
      </c>
      <c r="E77" t="s">
        <v>18</v>
      </c>
      <c r="F77" s="2">
        <v>43575</v>
      </c>
      <c r="G77" s="6">
        <v>45196</v>
      </c>
      <c r="H77">
        <v>78</v>
      </c>
      <c r="I77" t="s">
        <v>22</v>
      </c>
      <c r="J77" t="str">
        <f>VLOOKUP(E77,Lookup_Departments!$A$1:$B$7,2,FALSE)</f>
        <v>Finance</v>
      </c>
      <c r="K77" s="8">
        <f t="shared" ca="1" si="3"/>
        <v>7</v>
      </c>
      <c r="L77" t="str">
        <f>VLOOKUP(H77,Lookup_Performance!$A$1:$D$6,3,TRUE)</f>
        <v>Achieving</v>
      </c>
      <c r="M77" s="6">
        <f>G77*VLOOKUP(H77,Lookup_Performance!$A$1:$D$6,4,TRUE)</f>
        <v>2259.8000000000002</v>
      </c>
    </row>
    <row r="78" spans="1:13" x14ac:dyDescent="0.25">
      <c r="A78" t="s">
        <v>120</v>
      </c>
      <c r="B78" t="s">
        <v>40</v>
      </c>
      <c r="C78" t="s">
        <v>31</v>
      </c>
      <c r="D78" t="str">
        <f t="shared" si="2"/>
        <v>Jane Rodriguez</v>
      </c>
      <c r="E78" t="s">
        <v>8</v>
      </c>
      <c r="F78" s="2">
        <v>42785</v>
      </c>
      <c r="G78" s="6">
        <v>86246</v>
      </c>
      <c r="H78">
        <v>61</v>
      </c>
      <c r="I78" t="s">
        <v>35</v>
      </c>
      <c r="J78" t="str">
        <f>VLOOKUP(E78,Lookup_Departments!$A$1:$B$7,2,FALSE)</f>
        <v>Information Technology</v>
      </c>
      <c r="K78" s="8">
        <f t="shared" ca="1" si="3"/>
        <v>9</v>
      </c>
      <c r="L78" t="str">
        <f>VLOOKUP(H78,Lookup_Performance!$A$1:$D$6,3,TRUE)</f>
        <v>Developing</v>
      </c>
      <c r="M78" s="6">
        <f>G78*VLOOKUP(H78,Lookup_Performance!$A$1:$D$6,4,TRUE)</f>
        <v>1724.92</v>
      </c>
    </row>
    <row r="79" spans="1:13" x14ac:dyDescent="0.25">
      <c r="A79" t="s">
        <v>121</v>
      </c>
      <c r="B79" t="s">
        <v>6</v>
      </c>
      <c r="C79" t="s">
        <v>37</v>
      </c>
      <c r="D79" t="str">
        <f t="shared" si="2"/>
        <v>Emily Miller</v>
      </c>
      <c r="E79" t="s">
        <v>34</v>
      </c>
      <c r="F79" s="2">
        <v>44446</v>
      </c>
      <c r="G79" s="6">
        <v>70359</v>
      </c>
      <c r="H79">
        <v>74</v>
      </c>
      <c r="I79" t="s">
        <v>22</v>
      </c>
      <c r="J79" t="str">
        <f>VLOOKUP(E79,Lookup_Departments!$A$1:$B$7,2,FALSE)</f>
        <v>Sales</v>
      </c>
      <c r="K79" s="8">
        <f t="shared" ca="1" si="3"/>
        <v>5</v>
      </c>
      <c r="L79" t="str">
        <f>VLOOKUP(H79,Lookup_Performance!$A$1:$D$6,3,TRUE)</f>
        <v>Achieving</v>
      </c>
      <c r="M79" s="6">
        <f>G79*VLOOKUP(H79,Lookup_Performance!$A$1:$D$6,4,TRUE)</f>
        <v>3517.9500000000003</v>
      </c>
    </row>
    <row r="80" spans="1:13" x14ac:dyDescent="0.25">
      <c r="A80" t="s">
        <v>122</v>
      </c>
      <c r="B80" t="s">
        <v>69</v>
      </c>
      <c r="C80" t="s">
        <v>37</v>
      </c>
      <c r="D80" t="str">
        <f t="shared" si="2"/>
        <v>Sarah Miller</v>
      </c>
      <c r="E80" t="s">
        <v>12</v>
      </c>
      <c r="F80" s="2">
        <v>43599</v>
      </c>
      <c r="G80" s="6">
        <v>82713.429999999993</v>
      </c>
      <c r="H80">
        <v>94</v>
      </c>
      <c r="I80" t="s">
        <v>35</v>
      </c>
      <c r="J80" t="str">
        <f>VLOOKUP(E80,Lookup_Departments!$A$1:$B$7,2,FALSE)</f>
        <v>Marketing</v>
      </c>
      <c r="K80" s="8">
        <f t="shared" ca="1" si="3"/>
        <v>7</v>
      </c>
      <c r="L80" t="str">
        <f>VLOOKUP(H80,Lookup_Performance!$A$1:$D$6,3,TRUE)</f>
        <v>Exceeding</v>
      </c>
      <c r="M80" s="6">
        <f>G80*VLOOKUP(H80,Lookup_Performance!$A$1:$D$6,4,TRUE)</f>
        <v>6617.0743999999995</v>
      </c>
    </row>
    <row r="81" spans="1:13" x14ac:dyDescent="0.25">
      <c r="A81" t="s">
        <v>123</v>
      </c>
      <c r="B81" t="s">
        <v>29</v>
      </c>
      <c r="C81" t="s">
        <v>96</v>
      </c>
      <c r="D81" t="str">
        <f t="shared" si="2"/>
        <v>Jessica Garcia</v>
      </c>
      <c r="E81" t="s">
        <v>25</v>
      </c>
      <c r="F81" s="2">
        <v>42330</v>
      </c>
      <c r="G81" s="6">
        <v>86480</v>
      </c>
      <c r="H81">
        <v>70</v>
      </c>
      <c r="I81" t="s">
        <v>35</v>
      </c>
      <c r="J81" t="str">
        <f>VLOOKUP(E81,Lookup_Departments!$A$1:$B$7,2,FALSE)</f>
        <v>Operations</v>
      </c>
      <c r="K81" s="8">
        <f t="shared" ca="1" si="3"/>
        <v>11</v>
      </c>
      <c r="L81" t="str">
        <f>VLOOKUP(H81,Lookup_Performance!$A$1:$D$6,3,TRUE)</f>
        <v>Achieving</v>
      </c>
      <c r="M81" s="6">
        <f>G81*VLOOKUP(H81,Lookup_Performance!$A$1:$D$6,4,TRUE)</f>
        <v>4324</v>
      </c>
    </row>
    <row r="82" spans="1:13" x14ac:dyDescent="0.25">
      <c r="A82" t="s">
        <v>124</v>
      </c>
      <c r="B82" t="s">
        <v>10</v>
      </c>
      <c r="C82" t="s">
        <v>21</v>
      </c>
      <c r="D82" t="str">
        <f t="shared" si="2"/>
        <v>Richard Smith</v>
      </c>
      <c r="E82" t="s">
        <v>71</v>
      </c>
      <c r="F82" s="2">
        <v>43372</v>
      </c>
      <c r="G82" s="6">
        <v>47694</v>
      </c>
      <c r="H82">
        <v>75</v>
      </c>
      <c r="I82" t="s">
        <v>35</v>
      </c>
      <c r="J82" t="str">
        <f>VLOOKUP(E82,Lookup_Departments!$A$1:$B$7,2,FALSE)</f>
        <v>Human Resources</v>
      </c>
      <c r="K82" s="8">
        <f t="shared" ca="1" si="3"/>
        <v>8</v>
      </c>
      <c r="L82" t="str">
        <f>VLOOKUP(H82,Lookup_Performance!$A$1:$D$6,3,TRUE)</f>
        <v>Achieving</v>
      </c>
      <c r="M82" s="6">
        <f>G82*VLOOKUP(H82,Lookup_Performance!$A$1:$D$6,4,TRUE)</f>
        <v>2384.7000000000003</v>
      </c>
    </row>
    <row r="83" spans="1:13" x14ac:dyDescent="0.25">
      <c r="A83" t="s">
        <v>125</v>
      </c>
      <c r="B83" t="s">
        <v>76</v>
      </c>
      <c r="C83" t="s">
        <v>27</v>
      </c>
      <c r="D83" t="str">
        <f t="shared" si="2"/>
        <v>Melissa Wilson</v>
      </c>
      <c r="E83" t="s">
        <v>8</v>
      </c>
      <c r="F83" s="2">
        <v>45171</v>
      </c>
      <c r="G83" s="6">
        <v>83724</v>
      </c>
      <c r="H83">
        <v>81</v>
      </c>
      <c r="I83" t="s">
        <v>83</v>
      </c>
      <c r="J83" t="str">
        <f>VLOOKUP(E83,Lookup_Departments!$A$1:$B$7,2,FALSE)</f>
        <v>Information Technology</v>
      </c>
      <c r="K83" s="8">
        <f t="shared" ca="1" si="3"/>
        <v>3</v>
      </c>
      <c r="L83" t="str">
        <f>VLOOKUP(H83,Lookup_Performance!$A$1:$D$6,3,TRUE)</f>
        <v>Achieving</v>
      </c>
      <c r="M83" s="6">
        <f>G83*VLOOKUP(H83,Lookup_Performance!$A$1:$D$6,4,TRUE)</f>
        <v>4186.2</v>
      </c>
    </row>
    <row r="84" spans="1:13" x14ac:dyDescent="0.25">
      <c r="A84" t="s">
        <v>126</v>
      </c>
      <c r="B84" t="s">
        <v>20</v>
      </c>
      <c r="C84" t="s">
        <v>41</v>
      </c>
      <c r="D84" t="str">
        <f t="shared" si="2"/>
        <v>Thomas Williams</v>
      </c>
      <c r="E84" t="s">
        <v>18</v>
      </c>
      <c r="F84" s="2">
        <v>44759</v>
      </c>
      <c r="G84" s="6">
        <v>98299</v>
      </c>
      <c r="H84">
        <v>61</v>
      </c>
      <c r="I84" t="s">
        <v>35</v>
      </c>
      <c r="J84" t="str">
        <f>VLOOKUP(E84,Lookup_Departments!$A$1:$B$7,2,FALSE)</f>
        <v>Finance</v>
      </c>
      <c r="K84" s="8">
        <f t="shared" ca="1" si="3"/>
        <v>4</v>
      </c>
      <c r="L84" t="str">
        <f>VLOOKUP(H84,Lookup_Performance!$A$1:$D$6,3,TRUE)</f>
        <v>Developing</v>
      </c>
      <c r="M84" s="6">
        <f>G84*VLOOKUP(H84,Lookup_Performance!$A$1:$D$6,4,TRUE)</f>
        <v>1965.98</v>
      </c>
    </row>
    <row r="85" spans="1:13" x14ac:dyDescent="0.25">
      <c r="A85" t="s">
        <v>127</v>
      </c>
      <c r="B85" t="s">
        <v>81</v>
      </c>
      <c r="C85" t="s">
        <v>41</v>
      </c>
      <c r="D85" t="str">
        <f t="shared" si="2"/>
        <v>David Williams</v>
      </c>
      <c r="E85" t="s">
        <v>18</v>
      </c>
      <c r="F85" s="2">
        <v>39134</v>
      </c>
      <c r="G85" s="6">
        <v>82713.429999999993</v>
      </c>
      <c r="H85">
        <v>68</v>
      </c>
      <c r="I85" t="s">
        <v>35</v>
      </c>
      <c r="J85" t="str">
        <f>VLOOKUP(E85,Lookup_Departments!$A$1:$B$7,2,FALSE)</f>
        <v>Finance</v>
      </c>
      <c r="K85" s="8">
        <f t="shared" ca="1" si="3"/>
        <v>19</v>
      </c>
      <c r="L85" t="str">
        <f>VLOOKUP(H85,Lookup_Performance!$A$1:$D$6,3,TRUE)</f>
        <v>Developing</v>
      </c>
      <c r="M85" s="6">
        <f>G85*VLOOKUP(H85,Lookup_Performance!$A$1:$D$6,4,TRUE)</f>
        <v>1654.2685999999999</v>
      </c>
    </row>
    <row r="86" spans="1:13" x14ac:dyDescent="0.25">
      <c r="A86" t="s">
        <v>128</v>
      </c>
      <c r="B86" t="s">
        <v>16</v>
      </c>
      <c r="C86" t="s">
        <v>24</v>
      </c>
      <c r="D86" t="str">
        <f t="shared" si="2"/>
        <v>John Johnson</v>
      </c>
      <c r="E86" t="s">
        <v>8</v>
      </c>
      <c r="F86" s="2">
        <v>45203</v>
      </c>
      <c r="G86" s="6">
        <v>52287</v>
      </c>
      <c r="H86">
        <v>70</v>
      </c>
      <c r="I86" t="s">
        <v>35</v>
      </c>
      <c r="J86" t="str">
        <f>VLOOKUP(E86,Lookup_Departments!$A$1:$B$7,2,FALSE)</f>
        <v>Information Technology</v>
      </c>
      <c r="K86" s="8">
        <f t="shared" ca="1" si="3"/>
        <v>3</v>
      </c>
      <c r="L86" t="str">
        <f>VLOOKUP(H86,Lookup_Performance!$A$1:$D$6,3,TRUE)</f>
        <v>Achieving</v>
      </c>
      <c r="M86" s="6">
        <f>G86*VLOOKUP(H86,Lookup_Performance!$A$1:$D$6,4,TRUE)</f>
        <v>2614.3500000000004</v>
      </c>
    </row>
    <row r="87" spans="1:13" x14ac:dyDescent="0.25">
      <c r="A87" t="s">
        <v>129</v>
      </c>
      <c r="B87" t="s">
        <v>10</v>
      </c>
      <c r="C87" t="s">
        <v>14</v>
      </c>
      <c r="D87" t="str">
        <f t="shared" si="2"/>
        <v>Richard Gonzalez</v>
      </c>
      <c r="E87" t="s">
        <v>8</v>
      </c>
      <c r="F87" s="2">
        <v>44073</v>
      </c>
      <c r="G87" s="6">
        <v>82633</v>
      </c>
      <c r="H87">
        <v>98</v>
      </c>
      <c r="I87" t="s">
        <v>35</v>
      </c>
      <c r="J87" t="str">
        <f>VLOOKUP(E87,Lookup_Departments!$A$1:$B$7,2,FALSE)</f>
        <v>Information Technology</v>
      </c>
      <c r="K87" s="8">
        <f t="shared" ca="1" si="3"/>
        <v>6</v>
      </c>
      <c r="L87" t="str">
        <f>VLOOKUP(H87,Lookup_Performance!$A$1:$D$6,3,TRUE)</f>
        <v>Outstanding</v>
      </c>
      <c r="M87" s="6">
        <f>G87*VLOOKUP(H87,Lookup_Performance!$A$1:$D$6,4,TRUE)</f>
        <v>9915.9599999999991</v>
      </c>
    </row>
    <row r="88" spans="1:13" x14ac:dyDescent="0.25">
      <c r="A88" t="s">
        <v>130</v>
      </c>
      <c r="B88" t="s">
        <v>76</v>
      </c>
      <c r="C88" t="s">
        <v>98</v>
      </c>
      <c r="D88" t="str">
        <f t="shared" si="2"/>
        <v>Melissa Anderson</v>
      </c>
      <c r="E88" t="s">
        <v>25</v>
      </c>
      <c r="F88" s="2">
        <v>44422</v>
      </c>
      <c r="G88" s="6">
        <v>46508</v>
      </c>
      <c r="H88">
        <v>34</v>
      </c>
      <c r="I88" t="s">
        <v>35</v>
      </c>
      <c r="J88" t="str">
        <f>VLOOKUP(E88,Lookup_Departments!$A$1:$B$7,2,FALSE)</f>
        <v>Operations</v>
      </c>
      <c r="K88" s="8">
        <f t="shared" ca="1" si="3"/>
        <v>5</v>
      </c>
      <c r="L88" t="str">
        <f>VLOOKUP(H88,Lookup_Performance!$A$1:$D$6,3,TRUE)</f>
        <v>Needs Improvement</v>
      </c>
      <c r="M88" s="6">
        <f>G88*VLOOKUP(H88,Lookup_Performance!$A$1:$D$6,4,TRUE)</f>
        <v>0</v>
      </c>
    </row>
    <row r="89" spans="1:13" x14ac:dyDescent="0.25">
      <c r="A89" t="s">
        <v>131</v>
      </c>
      <c r="B89" t="s">
        <v>6</v>
      </c>
      <c r="C89" t="s">
        <v>14</v>
      </c>
      <c r="D89" t="str">
        <f t="shared" si="2"/>
        <v>Emily Gonzalez</v>
      </c>
      <c r="E89" t="s">
        <v>71</v>
      </c>
      <c r="F89" s="2">
        <v>46710</v>
      </c>
      <c r="G89" s="6">
        <v>86232</v>
      </c>
      <c r="H89">
        <v>93</v>
      </c>
      <c r="I89" t="s">
        <v>35</v>
      </c>
      <c r="J89" t="str">
        <f>VLOOKUP(E89,Lookup_Departments!$A$1:$B$7,2,FALSE)</f>
        <v>Human Resources</v>
      </c>
      <c r="K89" s="8">
        <f t="shared" ca="1" si="3"/>
        <v>-1</v>
      </c>
      <c r="L89" t="str">
        <f>VLOOKUP(H89,Lookup_Performance!$A$1:$D$6,3,TRUE)</f>
        <v>Exceeding</v>
      </c>
      <c r="M89" s="6">
        <f>G89*VLOOKUP(H89,Lookup_Performance!$A$1:$D$6,4,TRUE)</f>
        <v>6898.56</v>
      </c>
    </row>
    <row r="90" spans="1:13" x14ac:dyDescent="0.25">
      <c r="A90" t="s">
        <v>132</v>
      </c>
      <c r="B90" t="s">
        <v>40</v>
      </c>
      <c r="C90" t="s">
        <v>48</v>
      </c>
      <c r="D90" t="str">
        <f t="shared" si="2"/>
        <v>Jane Davis</v>
      </c>
      <c r="E90" t="s">
        <v>8</v>
      </c>
      <c r="F90" s="2">
        <v>45794</v>
      </c>
      <c r="G90" s="6">
        <v>77545</v>
      </c>
      <c r="H90">
        <v>48</v>
      </c>
      <c r="I90" t="s">
        <v>35</v>
      </c>
      <c r="J90" t="str">
        <f>VLOOKUP(E90,Lookup_Departments!$A$1:$B$7,2,FALSE)</f>
        <v>Information Technology</v>
      </c>
      <c r="K90" s="8">
        <f t="shared" ca="1" si="3"/>
        <v>1</v>
      </c>
      <c r="L90" t="str">
        <f>VLOOKUP(H90,Lookup_Performance!$A$1:$D$6,3,TRUE)</f>
        <v>Needs Improvement</v>
      </c>
      <c r="M90" s="6">
        <f>G90*VLOOKUP(H90,Lookup_Performance!$A$1:$D$6,4,TRUE)</f>
        <v>0</v>
      </c>
    </row>
    <row r="91" spans="1:13" x14ac:dyDescent="0.25">
      <c r="A91" t="s">
        <v>133</v>
      </c>
      <c r="B91" t="s">
        <v>114</v>
      </c>
      <c r="C91" t="s">
        <v>14</v>
      </c>
      <c r="D91" t="str">
        <f t="shared" si="2"/>
        <v>William Gonzalez</v>
      </c>
      <c r="E91" t="s">
        <v>25</v>
      </c>
      <c r="F91" s="2">
        <v>43436</v>
      </c>
      <c r="G91" s="6">
        <v>68683</v>
      </c>
      <c r="H91">
        <v>90</v>
      </c>
      <c r="I91" t="s">
        <v>35</v>
      </c>
      <c r="J91" t="str">
        <f>VLOOKUP(E91,Lookup_Departments!$A$1:$B$7,2,FALSE)</f>
        <v>Operations</v>
      </c>
      <c r="K91" s="8">
        <f t="shared" ca="1" si="3"/>
        <v>8</v>
      </c>
      <c r="L91" t="str">
        <f>VLOOKUP(H91,Lookup_Performance!$A$1:$D$6,3,TRUE)</f>
        <v>Exceeding</v>
      </c>
      <c r="M91" s="6">
        <f>G91*VLOOKUP(H91,Lookup_Performance!$A$1:$D$6,4,TRUE)</f>
        <v>5494.64</v>
      </c>
    </row>
    <row r="92" spans="1:13" x14ac:dyDescent="0.25">
      <c r="A92" t="s">
        <v>134</v>
      </c>
      <c r="B92" t="s">
        <v>20</v>
      </c>
      <c r="C92" t="s">
        <v>45</v>
      </c>
      <c r="D92" t="str">
        <f t="shared" si="2"/>
        <v>Thomas Jones</v>
      </c>
      <c r="E92" t="s">
        <v>18</v>
      </c>
      <c r="F92" s="2">
        <v>43639</v>
      </c>
      <c r="G92" s="6">
        <v>83932</v>
      </c>
      <c r="H92">
        <v>57</v>
      </c>
      <c r="I92" t="s">
        <v>22</v>
      </c>
      <c r="J92" t="str">
        <f>VLOOKUP(E92,Lookup_Departments!$A$1:$B$7,2,FALSE)</f>
        <v>Finance</v>
      </c>
      <c r="K92" s="8">
        <f t="shared" ca="1" si="3"/>
        <v>7</v>
      </c>
      <c r="L92" t="str">
        <f>VLOOKUP(H92,Lookup_Performance!$A$1:$D$6,3,TRUE)</f>
        <v>Developing</v>
      </c>
      <c r="M92" s="6">
        <f>G92*VLOOKUP(H92,Lookup_Performance!$A$1:$D$6,4,TRUE)</f>
        <v>1678.64</v>
      </c>
    </row>
    <row r="93" spans="1:13" x14ac:dyDescent="0.25">
      <c r="A93" t="s">
        <v>135</v>
      </c>
      <c r="B93" t="s">
        <v>29</v>
      </c>
      <c r="C93" t="s">
        <v>98</v>
      </c>
      <c r="D93" t="str">
        <f t="shared" si="2"/>
        <v>Jessica Anderson</v>
      </c>
      <c r="E93" t="s">
        <v>71</v>
      </c>
      <c r="F93" s="2">
        <v>42304</v>
      </c>
      <c r="G93" s="6">
        <v>56073</v>
      </c>
      <c r="H93">
        <v>79</v>
      </c>
      <c r="I93" t="s">
        <v>35</v>
      </c>
      <c r="J93" t="str">
        <f>VLOOKUP(E93,Lookup_Departments!$A$1:$B$7,2,FALSE)</f>
        <v>Human Resources</v>
      </c>
      <c r="K93" s="8">
        <f t="shared" ca="1" si="3"/>
        <v>11</v>
      </c>
      <c r="L93" t="str">
        <f>VLOOKUP(H93,Lookup_Performance!$A$1:$D$6,3,TRUE)</f>
        <v>Achieving</v>
      </c>
      <c r="M93" s="6">
        <f>G93*VLOOKUP(H93,Lookup_Performance!$A$1:$D$6,4,TRUE)</f>
        <v>2803.65</v>
      </c>
    </row>
    <row r="94" spans="1:13" x14ac:dyDescent="0.25">
      <c r="A94" t="s">
        <v>136</v>
      </c>
      <c r="B94" t="s">
        <v>76</v>
      </c>
      <c r="C94" t="s">
        <v>24</v>
      </c>
      <c r="D94" t="str">
        <f t="shared" si="2"/>
        <v>Melissa Johnson</v>
      </c>
      <c r="E94" t="s">
        <v>8</v>
      </c>
      <c r="F94" s="2">
        <v>43270</v>
      </c>
      <c r="G94" s="6">
        <v>88056</v>
      </c>
      <c r="H94">
        <v>66</v>
      </c>
      <c r="I94" t="s">
        <v>35</v>
      </c>
      <c r="J94" t="str">
        <f>VLOOKUP(E94,Lookup_Departments!$A$1:$B$7,2,FALSE)</f>
        <v>Information Technology</v>
      </c>
      <c r="K94" s="8">
        <f t="shared" ca="1" si="3"/>
        <v>8</v>
      </c>
      <c r="L94" t="str">
        <f>VLOOKUP(H94,Lookup_Performance!$A$1:$D$6,3,TRUE)</f>
        <v>Developing</v>
      </c>
      <c r="M94" s="6">
        <f>G94*VLOOKUP(H94,Lookup_Performance!$A$1:$D$6,4,TRUE)</f>
        <v>1761.1200000000001</v>
      </c>
    </row>
    <row r="95" spans="1:13" x14ac:dyDescent="0.25">
      <c r="A95" t="s">
        <v>137</v>
      </c>
      <c r="B95" t="s">
        <v>20</v>
      </c>
      <c r="C95" t="s">
        <v>37</v>
      </c>
      <c r="D95" t="str">
        <f t="shared" si="2"/>
        <v>Thomas Miller</v>
      </c>
      <c r="E95" t="s">
        <v>25</v>
      </c>
      <c r="F95" s="2">
        <v>43112</v>
      </c>
      <c r="G95" s="6">
        <v>67414</v>
      </c>
      <c r="H95">
        <v>84</v>
      </c>
      <c r="I95" t="s">
        <v>22</v>
      </c>
      <c r="J95" t="str">
        <f>VLOOKUP(E95,Lookup_Departments!$A$1:$B$7,2,FALSE)</f>
        <v>Operations</v>
      </c>
      <c r="K95" s="8">
        <f t="shared" ca="1" si="3"/>
        <v>8</v>
      </c>
      <c r="L95" t="str">
        <f>VLOOKUP(H95,Lookup_Performance!$A$1:$D$6,3,TRUE)</f>
        <v>Achieving</v>
      </c>
      <c r="M95" s="6">
        <f>G95*VLOOKUP(H95,Lookup_Performance!$A$1:$D$6,4,TRUE)</f>
        <v>3370.7000000000003</v>
      </c>
    </row>
    <row r="96" spans="1:13" x14ac:dyDescent="0.25">
      <c r="A96" t="s">
        <v>138</v>
      </c>
      <c r="B96" t="s">
        <v>114</v>
      </c>
      <c r="C96" t="s">
        <v>14</v>
      </c>
      <c r="D96" t="str">
        <f t="shared" si="2"/>
        <v>William Gonzalez</v>
      </c>
      <c r="E96" t="s">
        <v>34</v>
      </c>
      <c r="F96" s="2">
        <v>42008</v>
      </c>
      <c r="G96" s="6">
        <v>115288</v>
      </c>
      <c r="H96">
        <v>61</v>
      </c>
      <c r="I96" t="s">
        <v>35</v>
      </c>
      <c r="J96" t="str">
        <f>VLOOKUP(E96,Lookup_Departments!$A$1:$B$7,2,FALSE)</f>
        <v>Sales</v>
      </c>
      <c r="K96" s="8">
        <f t="shared" ca="1" si="3"/>
        <v>11</v>
      </c>
      <c r="L96" t="str">
        <f>VLOOKUP(H96,Lookup_Performance!$A$1:$D$6,3,TRUE)</f>
        <v>Developing</v>
      </c>
      <c r="M96" s="6">
        <f>G96*VLOOKUP(H96,Lookup_Performance!$A$1:$D$6,4,TRUE)</f>
        <v>2305.7600000000002</v>
      </c>
    </row>
    <row r="97" spans="1:13" x14ac:dyDescent="0.25">
      <c r="A97" t="s">
        <v>139</v>
      </c>
      <c r="C97" t="s">
        <v>21</v>
      </c>
      <c r="D97" t="str">
        <f t="shared" si="2"/>
        <v xml:space="preserve"> Smith</v>
      </c>
      <c r="E97" t="s">
        <v>34</v>
      </c>
      <c r="F97" s="2">
        <v>43439</v>
      </c>
      <c r="G97" s="6">
        <v>80140</v>
      </c>
      <c r="H97">
        <v>58</v>
      </c>
      <c r="I97" t="s">
        <v>35</v>
      </c>
      <c r="J97" t="str">
        <f>VLOOKUP(E97,Lookup_Departments!$A$1:$B$7,2,FALSE)</f>
        <v>Sales</v>
      </c>
      <c r="K97" s="8">
        <f t="shared" ca="1" si="3"/>
        <v>8</v>
      </c>
      <c r="L97" t="str">
        <f>VLOOKUP(H97,Lookup_Performance!$A$1:$D$6,3,TRUE)</f>
        <v>Developing</v>
      </c>
      <c r="M97" s="6">
        <f>G97*VLOOKUP(H97,Lookup_Performance!$A$1:$D$6,4,TRUE)</f>
        <v>1602.8</v>
      </c>
    </row>
    <row r="98" spans="1:13" x14ac:dyDescent="0.25">
      <c r="A98" t="s">
        <v>140</v>
      </c>
      <c r="B98" t="s">
        <v>16</v>
      </c>
      <c r="C98" t="s">
        <v>24</v>
      </c>
      <c r="D98" t="str">
        <f t="shared" si="2"/>
        <v>John Johnson</v>
      </c>
      <c r="E98" t="s">
        <v>8</v>
      </c>
      <c r="F98" s="2">
        <v>44482</v>
      </c>
      <c r="G98" s="6">
        <v>73087</v>
      </c>
      <c r="H98">
        <v>69</v>
      </c>
      <c r="I98" t="s">
        <v>35</v>
      </c>
      <c r="J98" t="str">
        <f>VLOOKUP(E98,Lookup_Departments!$A$1:$B$7,2,FALSE)</f>
        <v>Information Technology</v>
      </c>
      <c r="K98" s="8">
        <f t="shared" ca="1" si="3"/>
        <v>5</v>
      </c>
      <c r="L98" t="str">
        <f>VLOOKUP(H98,Lookup_Performance!$A$1:$D$6,3,TRUE)</f>
        <v>Developing</v>
      </c>
      <c r="M98" s="6">
        <f>G98*VLOOKUP(H98,Lookup_Performance!$A$1:$D$6,4,TRUE)</f>
        <v>1461.74</v>
      </c>
    </row>
    <row r="99" spans="1:13" x14ac:dyDescent="0.25">
      <c r="A99" t="s">
        <v>141</v>
      </c>
      <c r="B99" t="s">
        <v>40</v>
      </c>
      <c r="C99" t="s">
        <v>24</v>
      </c>
      <c r="D99" t="str">
        <f t="shared" si="2"/>
        <v>Jane Johnson</v>
      </c>
      <c r="E99" t="s">
        <v>34</v>
      </c>
      <c r="F99" s="2">
        <v>44081</v>
      </c>
      <c r="G99" s="6">
        <v>95292</v>
      </c>
      <c r="H99">
        <v>34</v>
      </c>
      <c r="I99" t="s">
        <v>35</v>
      </c>
      <c r="J99" t="str">
        <f>VLOOKUP(E99,Lookup_Departments!$A$1:$B$7,2,FALSE)</f>
        <v>Sales</v>
      </c>
      <c r="K99" s="8">
        <f t="shared" ca="1" si="3"/>
        <v>6</v>
      </c>
      <c r="L99" t="str">
        <f>VLOOKUP(H99,Lookup_Performance!$A$1:$D$6,3,TRUE)</f>
        <v>Needs Improvement</v>
      </c>
      <c r="M99" s="6">
        <f>G99*VLOOKUP(H99,Lookup_Performance!$A$1:$D$6,4,TRUE)</f>
        <v>0</v>
      </c>
    </row>
    <row r="100" spans="1:13" x14ac:dyDescent="0.25">
      <c r="A100" t="s">
        <v>142</v>
      </c>
      <c r="B100" t="s">
        <v>16</v>
      </c>
      <c r="C100" t="s">
        <v>45</v>
      </c>
      <c r="D100" t="str">
        <f t="shared" si="2"/>
        <v>John Jones</v>
      </c>
      <c r="E100" t="s">
        <v>8</v>
      </c>
      <c r="F100" s="2">
        <v>43532</v>
      </c>
      <c r="G100" s="6">
        <v>82713.429999999993</v>
      </c>
      <c r="H100">
        <v>33</v>
      </c>
      <c r="I100" t="s">
        <v>35</v>
      </c>
      <c r="J100" t="str">
        <f>VLOOKUP(E100,Lookup_Departments!$A$1:$B$7,2,FALSE)</f>
        <v>Information Technology</v>
      </c>
      <c r="K100" s="8">
        <f t="shared" ca="1" si="3"/>
        <v>7</v>
      </c>
      <c r="L100" t="str">
        <f>VLOOKUP(H100,Lookup_Performance!$A$1:$D$6,3,TRUE)</f>
        <v>Needs Improvement</v>
      </c>
      <c r="M100" s="6">
        <f>G100*VLOOKUP(H100,Lookup_Performance!$A$1:$D$6,4,TRUE)</f>
        <v>0</v>
      </c>
    </row>
    <row r="101" spans="1:13" x14ac:dyDescent="0.25">
      <c r="A101" t="s">
        <v>143</v>
      </c>
      <c r="B101" t="s">
        <v>40</v>
      </c>
      <c r="C101" t="s">
        <v>53</v>
      </c>
      <c r="D101" t="str">
        <f t="shared" si="2"/>
        <v>Jane Lopez</v>
      </c>
      <c r="E101" t="s">
        <v>12</v>
      </c>
      <c r="F101" s="2">
        <v>40617</v>
      </c>
      <c r="G101" s="6">
        <v>101750</v>
      </c>
      <c r="H101">
        <v>84</v>
      </c>
      <c r="I101" t="s">
        <v>22</v>
      </c>
      <c r="J101" t="str">
        <f>VLOOKUP(E101,Lookup_Departments!$A$1:$B$7,2,FALSE)</f>
        <v>Marketing</v>
      </c>
      <c r="K101" s="8">
        <f t="shared" ca="1" si="3"/>
        <v>15</v>
      </c>
      <c r="L101" t="str">
        <f>VLOOKUP(H101,Lookup_Performance!$A$1:$D$6,3,TRUE)</f>
        <v>Achieving</v>
      </c>
      <c r="M101" s="6">
        <f>G101*VLOOKUP(H101,Lookup_Performance!$A$1:$D$6,4,TRUE)</f>
        <v>5087.5</v>
      </c>
    </row>
    <row r="102" spans="1:13" x14ac:dyDescent="0.25">
      <c r="A102" t="s">
        <v>144</v>
      </c>
      <c r="B102" t="s">
        <v>76</v>
      </c>
      <c r="C102" t="s">
        <v>14</v>
      </c>
      <c r="D102" t="str">
        <f t="shared" si="2"/>
        <v>Melissa Gonzalez</v>
      </c>
      <c r="E102" t="s">
        <v>12</v>
      </c>
      <c r="F102" s="2">
        <v>43513</v>
      </c>
      <c r="G102" s="6">
        <v>82992</v>
      </c>
      <c r="H102">
        <v>79</v>
      </c>
      <c r="I102" t="s">
        <v>35</v>
      </c>
      <c r="J102" t="str">
        <f>VLOOKUP(E102,Lookup_Departments!$A$1:$B$7,2,FALSE)</f>
        <v>Marketing</v>
      </c>
      <c r="K102" s="8">
        <f t="shared" ca="1" si="3"/>
        <v>7</v>
      </c>
      <c r="L102" t="str">
        <f>VLOOKUP(H102,Lookup_Performance!$A$1:$D$6,3,TRUE)</f>
        <v>Achieving</v>
      </c>
      <c r="M102" s="6">
        <f>G102*VLOOKUP(H102,Lookup_Performance!$A$1:$D$6,4,TRUE)</f>
        <v>4149.6000000000004</v>
      </c>
    </row>
    <row r="103" spans="1:13" x14ac:dyDescent="0.25">
      <c r="A103" t="s">
        <v>145</v>
      </c>
      <c r="B103" t="s">
        <v>114</v>
      </c>
      <c r="C103" t="s">
        <v>48</v>
      </c>
      <c r="D103" t="str">
        <f t="shared" si="2"/>
        <v>William Davis</v>
      </c>
      <c r="E103" t="s">
        <v>8</v>
      </c>
      <c r="F103" s="2">
        <v>45055</v>
      </c>
      <c r="G103" s="6">
        <v>49942</v>
      </c>
      <c r="H103">
        <v>51</v>
      </c>
      <c r="I103" t="s">
        <v>35</v>
      </c>
      <c r="J103" t="str">
        <f>VLOOKUP(E103,Lookup_Departments!$A$1:$B$7,2,FALSE)</f>
        <v>Information Technology</v>
      </c>
      <c r="K103" s="8">
        <f t="shared" ca="1" si="3"/>
        <v>3</v>
      </c>
      <c r="L103" t="str">
        <f>VLOOKUP(H103,Lookup_Performance!$A$1:$D$6,3,TRUE)</f>
        <v>Developing</v>
      </c>
      <c r="M103" s="6">
        <f>G103*VLOOKUP(H103,Lookup_Performance!$A$1:$D$6,4,TRUE)</f>
        <v>998.84</v>
      </c>
    </row>
    <row r="104" spans="1:13" x14ac:dyDescent="0.25">
      <c r="A104" t="s">
        <v>146</v>
      </c>
      <c r="B104" t="s">
        <v>16</v>
      </c>
      <c r="C104" t="s">
        <v>21</v>
      </c>
      <c r="D104" t="str">
        <f t="shared" si="2"/>
        <v>John Smith</v>
      </c>
      <c r="E104" t="s">
        <v>25</v>
      </c>
      <c r="F104" s="2">
        <v>43122</v>
      </c>
      <c r="G104" s="6">
        <v>89060</v>
      </c>
      <c r="H104">
        <v>58</v>
      </c>
      <c r="I104" t="s">
        <v>35</v>
      </c>
      <c r="J104" t="str">
        <f>VLOOKUP(E104,Lookup_Departments!$A$1:$B$7,2,FALSE)</f>
        <v>Operations</v>
      </c>
      <c r="K104" s="8">
        <f t="shared" ca="1" si="3"/>
        <v>8</v>
      </c>
      <c r="L104" t="str">
        <f>VLOOKUP(H104,Lookup_Performance!$A$1:$D$6,3,TRUE)</f>
        <v>Developing</v>
      </c>
      <c r="M104" s="6">
        <f>G104*VLOOKUP(H104,Lookup_Performance!$A$1:$D$6,4,TRUE)</f>
        <v>1781.2</v>
      </c>
    </row>
    <row r="105" spans="1:13" x14ac:dyDescent="0.25">
      <c r="A105" t="s">
        <v>147</v>
      </c>
      <c r="B105" t="s">
        <v>50</v>
      </c>
      <c r="C105" t="s">
        <v>14</v>
      </c>
      <c r="D105" t="str">
        <f t="shared" si="2"/>
        <v>James Gonzalez</v>
      </c>
      <c r="E105" t="s">
        <v>8</v>
      </c>
      <c r="F105" s="2">
        <v>43879</v>
      </c>
      <c r="G105" s="6">
        <v>53786</v>
      </c>
      <c r="H105">
        <v>98</v>
      </c>
      <c r="I105" t="s">
        <v>35</v>
      </c>
      <c r="J105" t="str">
        <f>VLOOKUP(E105,Lookup_Departments!$A$1:$B$7,2,FALSE)</f>
        <v>Information Technology</v>
      </c>
      <c r="K105" s="8">
        <f t="shared" ca="1" si="3"/>
        <v>6</v>
      </c>
      <c r="L105" t="str">
        <f>VLOOKUP(H105,Lookup_Performance!$A$1:$D$6,3,TRUE)</f>
        <v>Outstanding</v>
      </c>
      <c r="M105" s="6">
        <f>G105*VLOOKUP(H105,Lookup_Performance!$A$1:$D$6,4,TRUE)</f>
        <v>6454.32</v>
      </c>
    </row>
    <row r="106" spans="1:13" x14ac:dyDescent="0.25">
      <c r="A106" t="s">
        <v>148</v>
      </c>
      <c r="B106" t="s">
        <v>6</v>
      </c>
      <c r="C106" t="s">
        <v>24</v>
      </c>
      <c r="D106" t="str">
        <f t="shared" si="2"/>
        <v>Emily Johnson</v>
      </c>
      <c r="E106" t="s">
        <v>25</v>
      </c>
      <c r="F106" s="2">
        <v>42512</v>
      </c>
      <c r="G106" s="6">
        <v>81167</v>
      </c>
      <c r="H106">
        <v>70</v>
      </c>
      <c r="I106" t="s">
        <v>35</v>
      </c>
      <c r="J106" t="str">
        <f>VLOOKUP(E106,Lookup_Departments!$A$1:$B$7,2,FALSE)</f>
        <v>Operations</v>
      </c>
      <c r="K106" s="8">
        <f t="shared" ca="1" si="3"/>
        <v>10</v>
      </c>
      <c r="L106" t="str">
        <f>VLOOKUP(H106,Lookup_Performance!$A$1:$D$6,3,TRUE)</f>
        <v>Achieving</v>
      </c>
      <c r="M106" s="6">
        <f>G106*VLOOKUP(H106,Lookup_Performance!$A$1:$D$6,4,TRUE)</f>
        <v>4058.3500000000004</v>
      </c>
    </row>
    <row r="107" spans="1:13" x14ac:dyDescent="0.25">
      <c r="A107" t="s">
        <v>149</v>
      </c>
      <c r="B107" t="s">
        <v>114</v>
      </c>
      <c r="C107" t="s">
        <v>41</v>
      </c>
      <c r="D107" t="str">
        <f t="shared" si="2"/>
        <v>William Williams</v>
      </c>
      <c r="E107" t="s">
        <v>12</v>
      </c>
      <c r="F107" s="2">
        <v>44349</v>
      </c>
      <c r="G107" s="6">
        <v>66688</v>
      </c>
      <c r="H107">
        <v>40</v>
      </c>
      <c r="I107" t="s">
        <v>22</v>
      </c>
      <c r="J107" t="str">
        <f>VLOOKUP(E107,Lookup_Departments!$A$1:$B$7,2,FALSE)</f>
        <v>Marketing</v>
      </c>
      <c r="K107" s="8">
        <f t="shared" ca="1" si="3"/>
        <v>5</v>
      </c>
      <c r="L107" t="str">
        <f>VLOOKUP(H107,Lookup_Performance!$A$1:$D$6,3,TRUE)</f>
        <v>Needs Improvement</v>
      </c>
      <c r="M107" s="6">
        <f>G107*VLOOKUP(H107,Lookup_Performance!$A$1:$D$6,4,TRUE)</f>
        <v>0</v>
      </c>
    </row>
    <row r="108" spans="1:13" x14ac:dyDescent="0.25">
      <c r="A108" t="s">
        <v>150</v>
      </c>
      <c r="B108" t="s">
        <v>50</v>
      </c>
      <c r="C108" t="s">
        <v>45</v>
      </c>
      <c r="D108" t="str">
        <f t="shared" si="2"/>
        <v>James Jones</v>
      </c>
      <c r="E108" t="s">
        <v>8</v>
      </c>
      <c r="F108" s="2">
        <v>44394</v>
      </c>
      <c r="G108" s="6">
        <v>91672</v>
      </c>
      <c r="H108">
        <v>88</v>
      </c>
      <c r="I108" t="s">
        <v>35</v>
      </c>
      <c r="J108" t="str">
        <f>VLOOKUP(E108,Lookup_Departments!$A$1:$B$7,2,FALSE)</f>
        <v>Information Technology</v>
      </c>
      <c r="K108" s="8">
        <f t="shared" ca="1" si="3"/>
        <v>5</v>
      </c>
      <c r="L108" t="str">
        <f>VLOOKUP(H108,Lookup_Performance!$A$1:$D$6,3,TRUE)</f>
        <v>Exceeding</v>
      </c>
      <c r="M108" s="6">
        <f>G108*VLOOKUP(H108,Lookup_Performance!$A$1:$D$6,4,TRUE)</f>
        <v>7333.76</v>
      </c>
    </row>
    <row r="109" spans="1:13" x14ac:dyDescent="0.25">
      <c r="A109" t="s">
        <v>151</v>
      </c>
      <c r="B109" t="s">
        <v>29</v>
      </c>
      <c r="C109" t="s">
        <v>14</v>
      </c>
      <c r="D109" t="str">
        <f t="shared" si="2"/>
        <v>Jessica Gonzalez</v>
      </c>
      <c r="E109" t="s">
        <v>71</v>
      </c>
      <c r="F109" s="2">
        <v>41594</v>
      </c>
      <c r="G109" s="6">
        <v>77737</v>
      </c>
      <c r="H109">
        <v>77</v>
      </c>
      <c r="I109" t="s">
        <v>35</v>
      </c>
      <c r="J109" t="str">
        <f>VLOOKUP(E109,Lookup_Departments!$A$1:$B$7,2,FALSE)</f>
        <v>Human Resources</v>
      </c>
      <c r="K109" s="8">
        <f t="shared" ca="1" si="3"/>
        <v>13</v>
      </c>
      <c r="L109" t="str">
        <f>VLOOKUP(H109,Lookup_Performance!$A$1:$D$6,3,TRUE)</f>
        <v>Achieving</v>
      </c>
      <c r="M109" s="6">
        <f>G109*VLOOKUP(H109,Lookup_Performance!$A$1:$D$6,4,TRUE)</f>
        <v>3886.8500000000004</v>
      </c>
    </row>
    <row r="110" spans="1:13" x14ac:dyDescent="0.25">
      <c r="A110" t="s">
        <v>152</v>
      </c>
      <c r="B110" t="s">
        <v>69</v>
      </c>
      <c r="C110" t="s">
        <v>37</v>
      </c>
      <c r="D110" t="str">
        <f t="shared" si="2"/>
        <v>Sarah Miller</v>
      </c>
      <c r="E110" t="s">
        <v>34</v>
      </c>
      <c r="F110" s="2">
        <v>43513</v>
      </c>
      <c r="G110" s="6">
        <v>95686</v>
      </c>
      <c r="H110">
        <v>91</v>
      </c>
      <c r="I110" t="s">
        <v>35</v>
      </c>
      <c r="J110" t="str">
        <f>VLOOKUP(E110,Lookup_Departments!$A$1:$B$7,2,FALSE)</f>
        <v>Sales</v>
      </c>
      <c r="K110" s="8">
        <f t="shared" ca="1" si="3"/>
        <v>7</v>
      </c>
      <c r="L110" t="str">
        <f>VLOOKUP(H110,Lookup_Performance!$A$1:$D$6,3,TRUE)</f>
        <v>Exceeding</v>
      </c>
      <c r="M110" s="6">
        <f>G110*VLOOKUP(H110,Lookup_Performance!$A$1:$D$6,4,TRUE)</f>
        <v>7654.88</v>
      </c>
    </row>
    <row r="111" spans="1:13" x14ac:dyDescent="0.25">
      <c r="A111" t="s">
        <v>153</v>
      </c>
      <c r="B111" t="s">
        <v>29</v>
      </c>
      <c r="C111" t="s">
        <v>21</v>
      </c>
      <c r="D111" t="str">
        <f t="shared" si="2"/>
        <v>Jessica Smith</v>
      </c>
      <c r="E111" t="s">
        <v>34</v>
      </c>
      <c r="F111" s="2">
        <v>42625</v>
      </c>
      <c r="G111" s="6">
        <v>114681</v>
      </c>
      <c r="H111">
        <v>36</v>
      </c>
      <c r="I111" t="s">
        <v>35</v>
      </c>
      <c r="J111" t="str">
        <f>VLOOKUP(E111,Lookup_Departments!$A$1:$B$7,2,FALSE)</f>
        <v>Sales</v>
      </c>
      <c r="K111" s="8">
        <f t="shared" ca="1" si="3"/>
        <v>10</v>
      </c>
      <c r="L111" t="str">
        <f>VLOOKUP(H111,Lookup_Performance!$A$1:$D$6,3,TRUE)</f>
        <v>Needs Improvement</v>
      </c>
      <c r="M111" s="6">
        <f>G111*VLOOKUP(H111,Lookup_Performance!$A$1:$D$6,4,TRUE)</f>
        <v>0</v>
      </c>
    </row>
    <row r="112" spans="1:13" x14ac:dyDescent="0.25">
      <c r="A112" t="s">
        <v>154</v>
      </c>
      <c r="B112" t="s">
        <v>20</v>
      </c>
      <c r="C112" t="s">
        <v>45</v>
      </c>
      <c r="D112" t="str">
        <f t="shared" si="2"/>
        <v>Thomas Jones</v>
      </c>
      <c r="E112" t="s">
        <v>25</v>
      </c>
      <c r="F112" s="2">
        <v>41507</v>
      </c>
      <c r="G112" s="6">
        <v>109121</v>
      </c>
      <c r="H112">
        <v>72</v>
      </c>
      <c r="I112" t="s">
        <v>35</v>
      </c>
      <c r="J112" t="str">
        <f>VLOOKUP(E112,Lookup_Departments!$A$1:$B$7,2,FALSE)</f>
        <v>Operations</v>
      </c>
      <c r="K112" s="8">
        <f t="shared" ca="1" si="3"/>
        <v>13</v>
      </c>
      <c r="L112" t="str">
        <f>VLOOKUP(H112,Lookup_Performance!$A$1:$D$6,3,TRUE)</f>
        <v>Achieving</v>
      </c>
      <c r="M112" s="6">
        <f>G112*VLOOKUP(H112,Lookup_Performance!$A$1:$D$6,4,TRUE)</f>
        <v>5456.05</v>
      </c>
    </row>
    <row r="113" spans="1:13" x14ac:dyDescent="0.25">
      <c r="A113" t="s">
        <v>155</v>
      </c>
      <c r="B113" t="s">
        <v>55</v>
      </c>
      <c r="C113" t="s">
        <v>7</v>
      </c>
      <c r="D113" t="str">
        <f t="shared" si="2"/>
        <v>Amanda Brown</v>
      </c>
      <c r="E113" t="s">
        <v>12</v>
      </c>
      <c r="F113" s="2">
        <v>43996</v>
      </c>
      <c r="G113" s="6">
        <v>112791</v>
      </c>
      <c r="H113">
        <v>87</v>
      </c>
      <c r="I113" t="s">
        <v>35</v>
      </c>
      <c r="J113" t="str">
        <f>VLOOKUP(E113,Lookup_Departments!$A$1:$B$7,2,FALSE)</f>
        <v>Marketing</v>
      </c>
      <c r="K113" s="8">
        <f t="shared" ca="1" si="3"/>
        <v>6</v>
      </c>
      <c r="L113" t="str">
        <f>VLOOKUP(H113,Lookup_Performance!$A$1:$D$6,3,TRUE)</f>
        <v>Exceeding</v>
      </c>
      <c r="M113" s="6">
        <f>G113*VLOOKUP(H113,Lookup_Performance!$A$1:$D$6,4,TRUE)</f>
        <v>9023.2800000000007</v>
      </c>
    </row>
    <row r="114" spans="1:13" x14ac:dyDescent="0.25">
      <c r="A114" t="s">
        <v>156</v>
      </c>
      <c r="B114" t="s">
        <v>44</v>
      </c>
      <c r="C114" t="s">
        <v>17</v>
      </c>
      <c r="D114" t="str">
        <f t="shared" si="2"/>
        <v>Robert Martinez</v>
      </c>
      <c r="E114" t="s">
        <v>8</v>
      </c>
      <c r="F114" s="2">
        <v>38555</v>
      </c>
      <c r="G114" s="6">
        <v>118008</v>
      </c>
      <c r="H114">
        <v>71</v>
      </c>
      <c r="I114" t="s">
        <v>35</v>
      </c>
      <c r="J114" t="str">
        <f>VLOOKUP(E114,Lookup_Departments!$A$1:$B$7,2,FALSE)</f>
        <v>Information Technology</v>
      </c>
      <c r="K114" s="8">
        <f t="shared" ca="1" si="3"/>
        <v>21</v>
      </c>
      <c r="L114" t="str">
        <f>VLOOKUP(H114,Lookup_Performance!$A$1:$D$6,3,TRUE)</f>
        <v>Achieving</v>
      </c>
      <c r="M114" s="6">
        <f>G114*VLOOKUP(H114,Lookup_Performance!$A$1:$D$6,4,TRUE)</f>
        <v>5900.4000000000005</v>
      </c>
    </row>
    <row r="115" spans="1:13" x14ac:dyDescent="0.25">
      <c r="A115" t="s">
        <v>157</v>
      </c>
      <c r="B115" t="s">
        <v>20</v>
      </c>
      <c r="C115" t="s">
        <v>37</v>
      </c>
      <c r="D115" t="str">
        <f t="shared" si="2"/>
        <v>Thomas Miller</v>
      </c>
      <c r="E115" t="s">
        <v>8</v>
      </c>
      <c r="F115" s="2">
        <v>42561</v>
      </c>
      <c r="G115" s="6">
        <v>74370</v>
      </c>
      <c r="H115">
        <v>82</v>
      </c>
      <c r="I115" t="s">
        <v>35</v>
      </c>
      <c r="J115" t="str">
        <f>VLOOKUP(E115,Lookup_Departments!$A$1:$B$7,2,FALSE)</f>
        <v>Information Technology</v>
      </c>
      <c r="K115" s="8">
        <f t="shared" ca="1" si="3"/>
        <v>10</v>
      </c>
      <c r="L115" t="str">
        <f>VLOOKUP(H115,Lookup_Performance!$A$1:$D$6,3,TRUE)</f>
        <v>Achieving</v>
      </c>
      <c r="M115" s="6">
        <f>G115*VLOOKUP(H115,Lookup_Performance!$A$1:$D$6,4,TRUE)</f>
        <v>3718.5</v>
      </c>
    </row>
    <row r="116" spans="1:13" x14ac:dyDescent="0.25">
      <c r="A116" t="s">
        <v>158</v>
      </c>
      <c r="B116" t="s">
        <v>81</v>
      </c>
      <c r="C116" t="s">
        <v>31</v>
      </c>
      <c r="D116" t="str">
        <f t="shared" si="2"/>
        <v>David Rodriguez</v>
      </c>
      <c r="E116" t="s">
        <v>8</v>
      </c>
      <c r="F116" s="2">
        <v>44674</v>
      </c>
      <c r="G116" s="6">
        <v>77819</v>
      </c>
      <c r="H116">
        <v>79</v>
      </c>
      <c r="I116" t="s">
        <v>35</v>
      </c>
      <c r="J116" t="str">
        <f>VLOOKUP(E116,Lookup_Departments!$A$1:$B$7,2,FALSE)</f>
        <v>Information Technology</v>
      </c>
      <c r="K116" s="8">
        <f t="shared" ca="1" si="3"/>
        <v>4</v>
      </c>
      <c r="L116" t="str">
        <f>VLOOKUP(H116,Lookup_Performance!$A$1:$D$6,3,TRUE)</f>
        <v>Achieving</v>
      </c>
      <c r="M116" s="6">
        <f>G116*VLOOKUP(H116,Lookup_Performance!$A$1:$D$6,4,TRUE)</f>
        <v>3890.9500000000003</v>
      </c>
    </row>
    <row r="117" spans="1:13" x14ac:dyDescent="0.25">
      <c r="A117" t="s">
        <v>159</v>
      </c>
      <c r="B117" t="s">
        <v>40</v>
      </c>
      <c r="C117" t="s">
        <v>37</v>
      </c>
      <c r="D117" t="str">
        <f t="shared" si="2"/>
        <v>Jane Miller</v>
      </c>
      <c r="E117" t="s">
        <v>12</v>
      </c>
      <c r="F117" s="2">
        <v>42865</v>
      </c>
      <c r="G117" s="6">
        <v>48748</v>
      </c>
      <c r="H117">
        <v>83</v>
      </c>
      <c r="I117" t="s">
        <v>35</v>
      </c>
      <c r="J117" t="str">
        <f>VLOOKUP(E117,Lookup_Departments!$A$1:$B$7,2,FALSE)</f>
        <v>Marketing</v>
      </c>
      <c r="K117" s="8">
        <f t="shared" ca="1" si="3"/>
        <v>9</v>
      </c>
      <c r="L117" t="str">
        <f>VLOOKUP(H117,Lookup_Performance!$A$1:$D$6,3,TRUE)</f>
        <v>Achieving</v>
      </c>
      <c r="M117" s="6">
        <f>G117*VLOOKUP(H117,Lookup_Performance!$A$1:$D$6,4,TRUE)</f>
        <v>2437.4</v>
      </c>
    </row>
    <row r="118" spans="1:13" x14ac:dyDescent="0.25">
      <c r="A118" t="s">
        <v>160</v>
      </c>
      <c r="B118" t="s">
        <v>50</v>
      </c>
      <c r="C118" t="s">
        <v>31</v>
      </c>
      <c r="D118" t="str">
        <f t="shared" si="2"/>
        <v>James Rodriguez</v>
      </c>
      <c r="E118" t="s">
        <v>25</v>
      </c>
      <c r="F118" s="2">
        <v>43971</v>
      </c>
      <c r="G118" s="6">
        <v>101997</v>
      </c>
      <c r="H118">
        <v>38</v>
      </c>
      <c r="I118" t="s">
        <v>83</v>
      </c>
      <c r="J118" t="str">
        <f>VLOOKUP(E118,Lookup_Departments!$A$1:$B$7,2,FALSE)</f>
        <v>Operations</v>
      </c>
      <c r="K118" s="8">
        <f t="shared" ca="1" si="3"/>
        <v>6</v>
      </c>
      <c r="L118" t="str">
        <f>VLOOKUP(H118,Lookup_Performance!$A$1:$D$6,3,TRUE)</f>
        <v>Needs Improvement</v>
      </c>
      <c r="M118" s="6">
        <f>G118*VLOOKUP(H118,Lookup_Performance!$A$1:$D$6,4,TRUE)</f>
        <v>0</v>
      </c>
    </row>
    <row r="119" spans="1:13" x14ac:dyDescent="0.25">
      <c r="A119" t="s">
        <v>161</v>
      </c>
      <c r="B119" t="s">
        <v>69</v>
      </c>
      <c r="C119" t="s">
        <v>31</v>
      </c>
      <c r="D119" t="str">
        <f t="shared" si="2"/>
        <v>Sarah Rodriguez</v>
      </c>
      <c r="E119" t="s">
        <v>71</v>
      </c>
      <c r="F119" s="2">
        <v>45036</v>
      </c>
      <c r="G119" s="6">
        <v>115260</v>
      </c>
      <c r="H119">
        <v>77</v>
      </c>
      <c r="I119" t="s">
        <v>35</v>
      </c>
      <c r="J119" t="str">
        <f>VLOOKUP(E119,Lookup_Departments!$A$1:$B$7,2,FALSE)</f>
        <v>Human Resources</v>
      </c>
      <c r="K119" s="8">
        <f t="shared" ca="1" si="3"/>
        <v>3</v>
      </c>
      <c r="L119" t="str">
        <f>VLOOKUP(H119,Lookup_Performance!$A$1:$D$6,3,TRUE)</f>
        <v>Achieving</v>
      </c>
      <c r="M119" s="6">
        <f>G119*VLOOKUP(H119,Lookup_Performance!$A$1:$D$6,4,TRUE)</f>
        <v>5763</v>
      </c>
    </row>
    <row r="120" spans="1:13" x14ac:dyDescent="0.25">
      <c r="A120" t="s">
        <v>162</v>
      </c>
      <c r="B120" t="s">
        <v>69</v>
      </c>
      <c r="C120" t="s">
        <v>27</v>
      </c>
      <c r="D120" t="str">
        <f t="shared" si="2"/>
        <v>Sarah Wilson</v>
      </c>
      <c r="E120" t="s">
        <v>34</v>
      </c>
      <c r="F120" s="2">
        <v>44500</v>
      </c>
      <c r="G120" s="6">
        <v>82713.429999999993</v>
      </c>
      <c r="H120">
        <v>49</v>
      </c>
      <c r="I120" t="s">
        <v>35</v>
      </c>
      <c r="J120" t="str">
        <f>VLOOKUP(E120,Lookup_Departments!$A$1:$B$7,2,FALSE)</f>
        <v>Sales</v>
      </c>
      <c r="K120" s="8">
        <f t="shared" ca="1" si="3"/>
        <v>5</v>
      </c>
      <c r="L120" t="str">
        <f>VLOOKUP(H120,Lookup_Performance!$A$1:$D$6,3,TRUE)</f>
        <v>Needs Improvement</v>
      </c>
      <c r="M120" s="6">
        <f>G120*VLOOKUP(H120,Lookup_Performance!$A$1:$D$6,4,TRUE)</f>
        <v>0</v>
      </c>
    </row>
    <row r="121" spans="1:13" x14ac:dyDescent="0.25">
      <c r="A121" t="s">
        <v>163</v>
      </c>
      <c r="B121" t="s">
        <v>76</v>
      </c>
      <c r="C121" t="s">
        <v>7</v>
      </c>
      <c r="D121" t="str">
        <f t="shared" si="2"/>
        <v>Melissa Brown</v>
      </c>
      <c r="E121" t="s">
        <v>8</v>
      </c>
      <c r="F121" s="2">
        <v>45586</v>
      </c>
      <c r="G121" s="6">
        <v>82713.429999999993</v>
      </c>
      <c r="H121">
        <v>69</v>
      </c>
      <c r="I121" t="s">
        <v>22</v>
      </c>
      <c r="J121" t="str">
        <f>VLOOKUP(E121,Lookup_Departments!$A$1:$B$7,2,FALSE)</f>
        <v>Information Technology</v>
      </c>
      <c r="K121" s="8">
        <f t="shared" ca="1" si="3"/>
        <v>2</v>
      </c>
      <c r="L121" t="str">
        <f>VLOOKUP(H121,Lookup_Performance!$A$1:$D$6,3,TRUE)</f>
        <v>Developing</v>
      </c>
      <c r="M121" s="6">
        <f>G121*VLOOKUP(H121,Lookup_Performance!$A$1:$D$6,4,TRUE)</f>
        <v>1654.2685999999999</v>
      </c>
    </row>
    <row r="122" spans="1:13" x14ac:dyDescent="0.25">
      <c r="A122" t="s">
        <v>164</v>
      </c>
      <c r="B122" t="s">
        <v>44</v>
      </c>
      <c r="C122" t="s">
        <v>41</v>
      </c>
      <c r="D122" t="str">
        <f t="shared" si="2"/>
        <v>Robert Williams</v>
      </c>
      <c r="E122" t="s">
        <v>34</v>
      </c>
      <c r="F122" s="2">
        <v>42956</v>
      </c>
      <c r="G122" s="6">
        <v>82713.429999999993</v>
      </c>
      <c r="H122">
        <v>76</v>
      </c>
      <c r="I122" t="s">
        <v>35</v>
      </c>
      <c r="J122" t="str">
        <f>VLOOKUP(E122,Lookup_Departments!$A$1:$B$7,2,FALSE)</f>
        <v>Sales</v>
      </c>
      <c r="K122" s="8">
        <f t="shared" ca="1" si="3"/>
        <v>9</v>
      </c>
      <c r="L122" t="str">
        <f>VLOOKUP(H122,Lookup_Performance!$A$1:$D$6,3,TRUE)</f>
        <v>Achieving</v>
      </c>
      <c r="M122" s="6">
        <f>G122*VLOOKUP(H122,Lookup_Performance!$A$1:$D$6,4,TRUE)</f>
        <v>4135.6714999999995</v>
      </c>
    </row>
    <row r="123" spans="1:13" x14ac:dyDescent="0.25">
      <c r="A123" t="s">
        <v>165</v>
      </c>
      <c r="B123" t="s">
        <v>76</v>
      </c>
      <c r="C123" t="s">
        <v>31</v>
      </c>
      <c r="D123" t="str">
        <f t="shared" si="2"/>
        <v>Melissa Rodriguez</v>
      </c>
      <c r="E123" t="s">
        <v>25</v>
      </c>
      <c r="F123" s="2">
        <v>44930</v>
      </c>
      <c r="G123" s="6">
        <v>60623</v>
      </c>
      <c r="H123">
        <v>78</v>
      </c>
      <c r="I123" t="s">
        <v>35</v>
      </c>
      <c r="J123" t="str">
        <f>VLOOKUP(E123,Lookup_Departments!$A$1:$B$7,2,FALSE)</f>
        <v>Operations</v>
      </c>
      <c r="K123" s="8">
        <f t="shared" ca="1" si="3"/>
        <v>3</v>
      </c>
      <c r="L123" t="str">
        <f>VLOOKUP(H123,Lookup_Performance!$A$1:$D$6,3,TRUE)</f>
        <v>Achieving</v>
      </c>
      <c r="M123" s="6">
        <f>G123*VLOOKUP(H123,Lookup_Performance!$A$1:$D$6,4,TRUE)</f>
        <v>3031.15</v>
      </c>
    </row>
    <row r="124" spans="1:13" x14ac:dyDescent="0.25">
      <c r="A124" t="s">
        <v>166</v>
      </c>
      <c r="B124" t="s">
        <v>50</v>
      </c>
      <c r="C124" t="s">
        <v>24</v>
      </c>
      <c r="D124" t="str">
        <f t="shared" si="2"/>
        <v>James Johnson</v>
      </c>
      <c r="E124" t="s">
        <v>71</v>
      </c>
      <c r="F124" s="2">
        <v>40410</v>
      </c>
      <c r="G124" s="6">
        <v>68092</v>
      </c>
      <c r="H124">
        <v>93</v>
      </c>
      <c r="I124" t="s">
        <v>35</v>
      </c>
      <c r="J124" t="str">
        <f>VLOOKUP(E124,Lookup_Departments!$A$1:$B$7,2,FALSE)</f>
        <v>Human Resources</v>
      </c>
      <c r="K124" s="8">
        <f t="shared" ca="1" si="3"/>
        <v>16</v>
      </c>
      <c r="L124" t="str">
        <f>VLOOKUP(H124,Lookup_Performance!$A$1:$D$6,3,TRUE)</f>
        <v>Exceeding</v>
      </c>
      <c r="M124" s="6">
        <f>G124*VLOOKUP(H124,Lookup_Performance!$A$1:$D$6,4,TRUE)</f>
        <v>5447.36</v>
      </c>
    </row>
    <row r="125" spans="1:13" x14ac:dyDescent="0.25">
      <c r="A125" t="s">
        <v>167</v>
      </c>
      <c r="B125" t="s">
        <v>33</v>
      </c>
      <c r="C125" t="s">
        <v>27</v>
      </c>
      <c r="D125" t="str">
        <f t="shared" si="2"/>
        <v>Michael Wilson</v>
      </c>
      <c r="E125" t="s">
        <v>12</v>
      </c>
      <c r="F125" s="2">
        <v>44653</v>
      </c>
      <c r="G125" s="6">
        <v>88155</v>
      </c>
      <c r="H125">
        <v>68</v>
      </c>
      <c r="I125" t="s">
        <v>35</v>
      </c>
      <c r="J125" t="str">
        <f>VLOOKUP(E125,Lookup_Departments!$A$1:$B$7,2,FALSE)</f>
        <v>Marketing</v>
      </c>
      <c r="K125" s="8">
        <f t="shared" ca="1" si="3"/>
        <v>4</v>
      </c>
      <c r="L125" t="str">
        <f>VLOOKUP(H125,Lookup_Performance!$A$1:$D$6,3,TRUE)</f>
        <v>Developing</v>
      </c>
      <c r="M125" s="6">
        <f>G125*VLOOKUP(H125,Lookup_Performance!$A$1:$D$6,4,TRUE)</f>
        <v>1763.1000000000001</v>
      </c>
    </row>
    <row r="126" spans="1:13" x14ac:dyDescent="0.25">
      <c r="A126" t="s">
        <v>168</v>
      </c>
      <c r="B126" t="s">
        <v>114</v>
      </c>
      <c r="C126" t="s">
        <v>45</v>
      </c>
      <c r="D126" t="str">
        <f t="shared" si="2"/>
        <v>William Jones</v>
      </c>
      <c r="E126" t="s">
        <v>12</v>
      </c>
      <c r="F126" s="2">
        <v>45369</v>
      </c>
      <c r="G126" s="6">
        <v>107903</v>
      </c>
      <c r="H126">
        <v>42</v>
      </c>
      <c r="I126" t="s">
        <v>35</v>
      </c>
      <c r="J126" t="str">
        <f>VLOOKUP(E126,Lookup_Departments!$A$1:$B$7,2,FALSE)</f>
        <v>Marketing</v>
      </c>
      <c r="K126" s="8">
        <f t="shared" ca="1" si="3"/>
        <v>2</v>
      </c>
      <c r="L126" t="str">
        <f>VLOOKUP(H126,Lookup_Performance!$A$1:$D$6,3,TRUE)</f>
        <v>Needs Improvement</v>
      </c>
      <c r="M126" s="6">
        <f>G126*VLOOKUP(H126,Lookup_Performance!$A$1:$D$6,4,TRUE)</f>
        <v>0</v>
      </c>
    </row>
    <row r="127" spans="1:13" x14ac:dyDescent="0.25">
      <c r="A127" t="s">
        <v>169</v>
      </c>
      <c r="B127" t="s">
        <v>114</v>
      </c>
      <c r="C127" t="s">
        <v>41</v>
      </c>
      <c r="D127" t="str">
        <f t="shared" si="2"/>
        <v>William Williams</v>
      </c>
      <c r="E127" t="s">
        <v>8</v>
      </c>
      <c r="F127" s="2">
        <v>43305</v>
      </c>
      <c r="G127" s="6">
        <v>62818</v>
      </c>
      <c r="H127">
        <v>34</v>
      </c>
      <c r="I127" t="s">
        <v>35</v>
      </c>
      <c r="J127" t="str">
        <f>VLOOKUP(E127,Lookup_Departments!$A$1:$B$7,2,FALSE)</f>
        <v>Information Technology</v>
      </c>
      <c r="K127" s="8">
        <f t="shared" ca="1" si="3"/>
        <v>8</v>
      </c>
      <c r="L127" t="str">
        <f>VLOOKUP(H127,Lookup_Performance!$A$1:$D$6,3,TRUE)</f>
        <v>Needs Improvement</v>
      </c>
      <c r="M127" s="6">
        <f>G127*VLOOKUP(H127,Lookup_Performance!$A$1:$D$6,4,TRUE)</f>
        <v>0</v>
      </c>
    </row>
    <row r="128" spans="1:13" x14ac:dyDescent="0.25">
      <c r="A128" t="s">
        <v>170</v>
      </c>
      <c r="B128" t="s">
        <v>81</v>
      </c>
      <c r="C128" t="s">
        <v>41</v>
      </c>
      <c r="D128" t="str">
        <f t="shared" si="2"/>
        <v>David Williams</v>
      </c>
      <c r="E128" t="s">
        <v>71</v>
      </c>
      <c r="F128" s="2">
        <v>43301</v>
      </c>
      <c r="G128" s="6">
        <v>85151</v>
      </c>
      <c r="H128">
        <v>35</v>
      </c>
      <c r="I128" t="s">
        <v>35</v>
      </c>
      <c r="J128" t="str">
        <f>VLOOKUP(E128,Lookup_Departments!$A$1:$B$7,2,FALSE)</f>
        <v>Human Resources</v>
      </c>
      <c r="K128" s="8">
        <f t="shared" ca="1" si="3"/>
        <v>8</v>
      </c>
      <c r="L128" t="str">
        <f>VLOOKUP(H128,Lookup_Performance!$A$1:$D$6,3,TRUE)</f>
        <v>Needs Improvement</v>
      </c>
      <c r="M128" s="6">
        <f>G128*VLOOKUP(H128,Lookup_Performance!$A$1:$D$6,4,TRUE)</f>
        <v>0</v>
      </c>
    </row>
    <row r="129" spans="1:13" x14ac:dyDescent="0.25">
      <c r="A129" t="s">
        <v>171</v>
      </c>
      <c r="B129" t="s">
        <v>40</v>
      </c>
      <c r="C129" t="s">
        <v>48</v>
      </c>
      <c r="D129" t="str">
        <f t="shared" si="2"/>
        <v>Jane Davis</v>
      </c>
      <c r="E129" t="s">
        <v>18</v>
      </c>
      <c r="F129" s="2">
        <v>38062</v>
      </c>
      <c r="G129" s="6">
        <v>46390</v>
      </c>
      <c r="H129">
        <v>95</v>
      </c>
      <c r="I129" t="s">
        <v>35</v>
      </c>
      <c r="J129" t="str">
        <f>VLOOKUP(E129,Lookup_Departments!$A$1:$B$7,2,FALSE)</f>
        <v>Finance</v>
      </c>
      <c r="K129" s="8">
        <f t="shared" ca="1" si="3"/>
        <v>22</v>
      </c>
      <c r="L129" t="str">
        <f>VLOOKUP(H129,Lookup_Performance!$A$1:$D$6,3,TRUE)</f>
        <v>Outstanding</v>
      </c>
      <c r="M129" s="6">
        <f>G129*VLOOKUP(H129,Lookup_Performance!$A$1:$D$6,4,TRUE)</f>
        <v>5566.8</v>
      </c>
    </row>
    <row r="130" spans="1:13" x14ac:dyDescent="0.25">
      <c r="A130" t="s">
        <v>172</v>
      </c>
      <c r="B130" t="s">
        <v>16</v>
      </c>
      <c r="C130" t="s">
        <v>17</v>
      </c>
      <c r="D130" t="str">
        <f t="shared" si="2"/>
        <v>John Martinez</v>
      </c>
      <c r="E130" t="s">
        <v>71</v>
      </c>
      <c r="F130" s="2">
        <v>44643</v>
      </c>
      <c r="G130" s="6">
        <v>111920</v>
      </c>
      <c r="H130">
        <v>90</v>
      </c>
      <c r="I130" t="s">
        <v>22</v>
      </c>
      <c r="J130" t="str">
        <f>VLOOKUP(E130,Lookup_Departments!$A$1:$B$7,2,FALSE)</f>
        <v>Human Resources</v>
      </c>
      <c r="K130" s="8">
        <f t="shared" ca="1" si="3"/>
        <v>4</v>
      </c>
      <c r="L130" t="str">
        <f>VLOOKUP(H130,Lookup_Performance!$A$1:$D$6,3,TRUE)</f>
        <v>Exceeding</v>
      </c>
      <c r="M130" s="6">
        <f>G130*VLOOKUP(H130,Lookup_Performance!$A$1:$D$6,4,TRUE)</f>
        <v>8953.6</v>
      </c>
    </row>
    <row r="131" spans="1:13" x14ac:dyDescent="0.25">
      <c r="A131" t="s">
        <v>173</v>
      </c>
      <c r="B131" t="s">
        <v>81</v>
      </c>
      <c r="C131" t="s">
        <v>98</v>
      </c>
      <c r="D131" t="str">
        <f t="shared" ref="D131:D151" si="4">CONCATENATE(B131," ",C131)</f>
        <v>David Anderson</v>
      </c>
      <c r="E131" t="s">
        <v>71</v>
      </c>
      <c r="F131" s="2">
        <v>46951</v>
      </c>
      <c r="G131" s="6">
        <v>115618</v>
      </c>
      <c r="H131">
        <v>42</v>
      </c>
      <c r="I131" t="s">
        <v>35</v>
      </c>
      <c r="J131" t="str">
        <f>VLOOKUP(E131,Lookup_Departments!$A$1:$B$7,2,FALSE)</f>
        <v>Human Resources</v>
      </c>
      <c r="K131" s="8">
        <f t="shared" ref="K131:K158" ca="1" si="5">YEAR(TODAY())-YEAR(F:F)</f>
        <v>-2</v>
      </c>
      <c r="L131" t="str">
        <f>VLOOKUP(H131,Lookup_Performance!$A$1:$D$6,3,TRUE)</f>
        <v>Needs Improvement</v>
      </c>
      <c r="M131" s="6">
        <f>G131*VLOOKUP(H131,Lookup_Performance!$A$1:$D$6,4,TRUE)</f>
        <v>0</v>
      </c>
    </row>
    <row r="132" spans="1:13" x14ac:dyDescent="0.25">
      <c r="A132" t="s">
        <v>174</v>
      </c>
      <c r="B132" t="s">
        <v>69</v>
      </c>
      <c r="C132" t="s">
        <v>21</v>
      </c>
      <c r="D132" t="str">
        <f t="shared" si="4"/>
        <v>Sarah Smith</v>
      </c>
      <c r="E132" t="s">
        <v>34</v>
      </c>
      <c r="F132" s="2">
        <v>45057</v>
      </c>
      <c r="G132" s="6">
        <v>110618</v>
      </c>
      <c r="H132">
        <v>88</v>
      </c>
      <c r="I132" t="s">
        <v>83</v>
      </c>
      <c r="J132" t="str">
        <f>VLOOKUP(E132,Lookup_Departments!$A$1:$B$7,2,FALSE)</f>
        <v>Sales</v>
      </c>
      <c r="K132" s="8">
        <f t="shared" ca="1" si="5"/>
        <v>3</v>
      </c>
      <c r="L132" t="str">
        <f>VLOOKUP(H132,Lookup_Performance!$A$1:$D$6,3,TRUE)</f>
        <v>Exceeding</v>
      </c>
      <c r="M132" s="6">
        <f>G132*VLOOKUP(H132,Lookup_Performance!$A$1:$D$6,4,TRUE)</f>
        <v>8849.44</v>
      </c>
    </row>
    <row r="133" spans="1:13" x14ac:dyDescent="0.25">
      <c r="A133" t="s">
        <v>175</v>
      </c>
      <c r="B133" t="s">
        <v>76</v>
      </c>
      <c r="C133" t="s">
        <v>11</v>
      </c>
      <c r="D133" t="str">
        <f t="shared" si="4"/>
        <v>Melissa Hernandez</v>
      </c>
      <c r="E133" t="s">
        <v>25</v>
      </c>
      <c r="F133" s="2">
        <v>43546</v>
      </c>
      <c r="G133" s="6">
        <v>108395</v>
      </c>
      <c r="H133">
        <v>78</v>
      </c>
      <c r="I133" t="s">
        <v>22</v>
      </c>
      <c r="J133" t="str">
        <f>VLOOKUP(E133,Lookup_Departments!$A$1:$B$7,2,FALSE)</f>
        <v>Operations</v>
      </c>
      <c r="K133" s="8">
        <f t="shared" ca="1" si="5"/>
        <v>7</v>
      </c>
      <c r="L133" t="str">
        <f>VLOOKUP(H133,Lookup_Performance!$A$1:$D$6,3,TRUE)</f>
        <v>Achieving</v>
      </c>
      <c r="M133" s="6">
        <f>G133*VLOOKUP(H133,Lookup_Performance!$A$1:$D$6,4,TRUE)</f>
        <v>5419.75</v>
      </c>
    </row>
    <row r="134" spans="1:13" x14ac:dyDescent="0.25">
      <c r="A134" t="s">
        <v>176</v>
      </c>
      <c r="B134" t="s">
        <v>76</v>
      </c>
      <c r="C134" t="s">
        <v>24</v>
      </c>
      <c r="D134" t="str">
        <f t="shared" si="4"/>
        <v>Melissa Johnson</v>
      </c>
      <c r="E134" t="s">
        <v>18</v>
      </c>
      <c r="F134" s="2">
        <v>43091</v>
      </c>
      <c r="G134" s="6">
        <v>88005</v>
      </c>
      <c r="H134">
        <v>69</v>
      </c>
      <c r="I134" t="s">
        <v>35</v>
      </c>
      <c r="J134" t="str">
        <f>VLOOKUP(E134,Lookup_Departments!$A$1:$B$7,2,FALSE)</f>
        <v>Finance</v>
      </c>
      <c r="K134" s="8">
        <f t="shared" ca="1" si="5"/>
        <v>9</v>
      </c>
      <c r="L134" t="str">
        <f>VLOOKUP(H134,Lookup_Performance!$A$1:$D$6,3,TRUE)</f>
        <v>Developing</v>
      </c>
      <c r="M134" s="6">
        <f>G134*VLOOKUP(H134,Lookup_Performance!$A$1:$D$6,4,TRUE)</f>
        <v>1760.1000000000001</v>
      </c>
    </row>
    <row r="135" spans="1:13" x14ac:dyDescent="0.25">
      <c r="A135" t="s">
        <v>177</v>
      </c>
      <c r="B135" t="s">
        <v>40</v>
      </c>
      <c r="C135" t="s">
        <v>96</v>
      </c>
      <c r="D135" t="str">
        <f t="shared" si="4"/>
        <v>Jane Garcia</v>
      </c>
      <c r="E135" t="s">
        <v>12</v>
      </c>
      <c r="F135" s="2">
        <v>44437</v>
      </c>
      <c r="G135" s="6">
        <v>83007</v>
      </c>
      <c r="H135">
        <v>82</v>
      </c>
      <c r="I135" t="s">
        <v>35</v>
      </c>
      <c r="J135" t="str">
        <f>VLOOKUP(E135,Lookup_Departments!$A$1:$B$7,2,FALSE)</f>
        <v>Marketing</v>
      </c>
      <c r="K135" s="8">
        <f t="shared" ca="1" si="5"/>
        <v>5</v>
      </c>
      <c r="L135" t="str">
        <f>VLOOKUP(H135,Lookup_Performance!$A$1:$D$6,3,TRUE)</f>
        <v>Achieving</v>
      </c>
      <c r="M135" s="6">
        <f>G135*VLOOKUP(H135,Lookup_Performance!$A$1:$D$6,4,TRUE)</f>
        <v>4150.3500000000004</v>
      </c>
    </row>
    <row r="136" spans="1:13" x14ac:dyDescent="0.25">
      <c r="A136" t="s">
        <v>178</v>
      </c>
      <c r="B136" t="s">
        <v>81</v>
      </c>
      <c r="C136" t="s">
        <v>48</v>
      </c>
      <c r="D136" t="str">
        <f t="shared" si="4"/>
        <v>David Davis</v>
      </c>
      <c r="E136" t="s">
        <v>8</v>
      </c>
      <c r="F136" s="2">
        <v>43360</v>
      </c>
      <c r="G136" s="6">
        <v>61547</v>
      </c>
      <c r="H136">
        <v>68</v>
      </c>
      <c r="I136" t="s">
        <v>35</v>
      </c>
      <c r="J136" t="str">
        <f>VLOOKUP(E136,Lookup_Departments!$A$1:$B$7,2,FALSE)</f>
        <v>Information Technology</v>
      </c>
      <c r="K136" s="8">
        <f t="shared" ca="1" si="5"/>
        <v>8</v>
      </c>
      <c r="L136" t="str">
        <f>VLOOKUP(H136,Lookup_Performance!$A$1:$D$6,3,TRUE)</f>
        <v>Developing</v>
      </c>
      <c r="M136" s="6">
        <f>G136*VLOOKUP(H136,Lookup_Performance!$A$1:$D$6,4,TRUE)</f>
        <v>1230.94</v>
      </c>
    </row>
    <row r="137" spans="1:13" x14ac:dyDescent="0.25">
      <c r="A137" t="s">
        <v>179</v>
      </c>
      <c r="B137" t="s">
        <v>50</v>
      </c>
      <c r="C137" t="s">
        <v>27</v>
      </c>
      <c r="D137" t="str">
        <f t="shared" si="4"/>
        <v>James Wilson</v>
      </c>
      <c r="E137" t="s">
        <v>34</v>
      </c>
      <c r="F137" s="2">
        <v>44375</v>
      </c>
      <c r="G137" s="6">
        <v>82713.429999999993</v>
      </c>
      <c r="H137">
        <v>52</v>
      </c>
      <c r="I137" t="s">
        <v>35</v>
      </c>
      <c r="J137" t="str">
        <f>VLOOKUP(E137,Lookup_Departments!$A$1:$B$7,2,FALSE)</f>
        <v>Sales</v>
      </c>
      <c r="K137" s="8">
        <f t="shared" ca="1" si="5"/>
        <v>5</v>
      </c>
      <c r="L137" t="str">
        <f>VLOOKUP(H137,Lookup_Performance!$A$1:$D$6,3,TRUE)</f>
        <v>Developing</v>
      </c>
      <c r="M137" s="6">
        <f>G137*VLOOKUP(H137,Lookup_Performance!$A$1:$D$6,4,TRUE)</f>
        <v>1654.2685999999999</v>
      </c>
    </row>
    <row r="138" spans="1:13" x14ac:dyDescent="0.25">
      <c r="A138" t="s">
        <v>180</v>
      </c>
      <c r="B138" t="s">
        <v>10</v>
      </c>
      <c r="C138" t="s">
        <v>24</v>
      </c>
      <c r="D138" t="str">
        <f t="shared" si="4"/>
        <v>Richard Johnson</v>
      </c>
      <c r="E138" t="s">
        <v>25</v>
      </c>
      <c r="F138" s="2">
        <v>37911</v>
      </c>
      <c r="G138" s="6">
        <v>50399</v>
      </c>
      <c r="H138">
        <v>92</v>
      </c>
      <c r="I138" t="s">
        <v>22</v>
      </c>
      <c r="J138" t="str">
        <f>VLOOKUP(E138,Lookup_Departments!$A$1:$B$7,2,FALSE)</f>
        <v>Operations</v>
      </c>
      <c r="K138" s="8">
        <f t="shared" ca="1" si="5"/>
        <v>23</v>
      </c>
      <c r="L138" t="str">
        <f>VLOOKUP(H138,Lookup_Performance!$A$1:$D$6,3,TRUE)</f>
        <v>Exceeding</v>
      </c>
      <c r="M138" s="6">
        <f>G138*VLOOKUP(H138,Lookup_Performance!$A$1:$D$6,4,TRUE)</f>
        <v>4031.92</v>
      </c>
    </row>
    <row r="139" spans="1:13" x14ac:dyDescent="0.25">
      <c r="A139" t="s">
        <v>181</v>
      </c>
      <c r="B139" t="s">
        <v>10</v>
      </c>
      <c r="C139" t="s">
        <v>41</v>
      </c>
      <c r="D139" t="str">
        <f t="shared" si="4"/>
        <v>Richard Williams</v>
      </c>
      <c r="E139" t="s">
        <v>18</v>
      </c>
      <c r="F139" s="2">
        <v>42299</v>
      </c>
      <c r="G139" s="6">
        <v>82713.429999999993</v>
      </c>
      <c r="H139">
        <v>62</v>
      </c>
      <c r="I139" t="s">
        <v>35</v>
      </c>
      <c r="J139" t="str">
        <f>VLOOKUP(E139,Lookup_Departments!$A$1:$B$7,2,FALSE)</f>
        <v>Finance</v>
      </c>
      <c r="K139" s="8">
        <f t="shared" ca="1" si="5"/>
        <v>11</v>
      </c>
      <c r="L139" t="str">
        <f>VLOOKUP(H139,Lookup_Performance!$A$1:$D$6,3,TRUE)</f>
        <v>Developing</v>
      </c>
      <c r="M139" s="6">
        <f>G139*VLOOKUP(H139,Lookup_Performance!$A$1:$D$6,4,TRUE)</f>
        <v>1654.2685999999999</v>
      </c>
    </row>
    <row r="140" spans="1:13" x14ac:dyDescent="0.25">
      <c r="A140" t="s">
        <v>182</v>
      </c>
      <c r="B140" t="s">
        <v>16</v>
      </c>
      <c r="C140" t="s">
        <v>11</v>
      </c>
      <c r="D140" t="str">
        <f t="shared" si="4"/>
        <v>John Hernandez</v>
      </c>
      <c r="E140" t="s">
        <v>25</v>
      </c>
      <c r="F140" s="2">
        <v>43257</v>
      </c>
      <c r="G140" s="6">
        <v>52720</v>
      </c>
      <c r="H140">
        <v>68</v>
      </c>
      <c r="I140" t="s">
        <v>35</v>
      </c>
      <c r="J140" t="str">
        <f>VLOOKUP(E140,Lookup_Departments!$A$1:$B$7,2,FALSE)</f>
        <v>Operations</v>
      </c>
      <c r="K140" s="8">
        <f t="shared" ca="1" si="5"/>
        <v>8</v>
      </c>
      <c r="L140" t="str">
        <f>VLOOKUP(H140,Lookup_Performance!$A$1:$D$6,3,TRUE)</f>
        <v>Developing</v>
      </c>
      <c r="M140" s="6">
        <f>G140*VLOOKUP(H140,Lookup_Performance!$A$1:$D$6,4,TRUE)</f>
        <v>1054.4000000000001</v>
      </c>
    </row>
    <row r="141" spans="1:13" x14ac:dyDescent="0.25">
      <c r="A141" t="s">
        <v>183</v>
      </c>
      <c r="B141" t="s">
        <v>69</v>
      </c>
      <c r="C141" t="s">
        <v>14</v>
      </c>
      <c r="D141" t="str">
        <f t="shared" si="4"/>
        <v>Sarah Gonzalez</v>
      </c>
      <c r="E141" t="s">
        <v>25</v>
      </c>
      <c r="F141" s="2">
        <v>42932</v>
      </c>
      <c r="G141" s="6">
        <v>65065</v>
      </c>
      <c r="H141">
        <v>98</v>
      </c>
      <c r="I141" t="s">
        <v>35</v>
      </c>
      <c r="J141" t="str">
        <f>VLOOKUP(E141,Lookup_Departments!$A$1:$B$7,2,FALSE)</f>
        <v>Operations</v>
      </c>
      <c r="K141" s="8">
        <f t="shared" ca="1" si="5"/>
        <v>9</v>
      </c>
      <c r="L141" t="str">
        <f>VLOOKUP(H141,Lookup_Performance!$A$1:$D$6,3,TRUE)</f>
        <v>Outstanding</v>
      </c>
      <c r="M141" s="6">
        <f>G141*VLOOKUP(H141,Lookup_Performance!$A$1:$D$6,4,TRUE)</f>
        <v>7807.7999999999993</v>
      </c>
    </row>
    <row r="142" spans="1:13" x14ac:dyDescent="0.25">
      <c r="A142" t="s">
        <v>184</v>
      </c>
      <c r="B142" t="s">
        <v>76</v>
      </c>
      <c r="C142" t="s">
        <v>11</v>
      </c>
      <c r="D142" t="str">
        <f t="shared" si="4"/>
        <v>Melissa Hernandez</v>
      </c>
      <c r="E142" t="s">
        <v>34</v>
      </c>
      <c r="F142" s="2">
        <v>42175</v>
      </c>
      <c r="G142" s="6">
        <v>82713.429999999993</v>
      </c>
      <c r="H142">
        <v>94</v>
      </c>
      <c r="I142" t="s">
        <v>83</v>
      </c>
      <c r="J142" t="str">
        <f>VLOOKUP(E142,Lookup_Departments!$A$1:$B$7,2,FALSE)</f>
        <v>Sales</v>
      </c>
      <c r="K142" s="8">
        <f t="shared" ca="1" si="5"/>
        <v>11</v>
      </c>
      <c r="L142" t="str">
        <f>VLOOKUP(H142,Lookup_Performance!$A$1:$D$6,3,TRUE)</f>
        <v>Exceeding</v>
      </c>
      <c r="M142" s="6">
        <f>G142*VLOOKUP(H142,Lookup_Performance!$A$1:$D$6,4,TRUE)</f>
        <v>6617.0743999999995</v>
      </c>
    </row>
    <row r="143" spans="1:13" x14ac:dyDescent="0.25">
      <c r="A143" t="s">
        <v>185</v>
      </c>
      <c r="B143" t="s">
        <v>76</v>
      </c>
      <c r="C143" t="s">
        <v>11</v>
      </c>
      <c r="D143" t="str">
        <f t="shared" si="4"/>
        <v>Melissa Hernandez</v>
      </c>
      <c r="E143" t="s">
        <v>25</v>
      </c>
      <c r="F143" s="2">
        <v>43609</v>
      </c>
      <c r="G143" s="6">
        <v>108119</v>
      </c>
      <c r="H143">
        <v>57</v>
      </c>
      <c r="I143" t="s">
        <v>83</v>
      </c>
      <c r="J143" t="str">
        <f>VLOOKUP(E143,Lookup_Departments!$A$1:$B$7,2,FALSE)</f>
        <v>Operations</v>
      </c>
      <c r="K143" s="8">
        <f t="shared" ca="1" si="5"/>
        <v>7</v>
      </c>
      <c r="L143" t="str">
        <f>VLOOKUP(H143,Lookup_Performance!$A$1:$D$6,3,TRUE)</f>
        <v>Developing</v>
      </c>
      <c r="M143" s="6">
        <f>G143*VLOOKUP(H143,Lookup_Performance!$A$1:$D$6,4,TRUE)</f>
        <v>2162.38</v>
      </c>
    </row>
    <row r="144" spans="1:13" x14ac:dyDescent="0.25">
      <c r="A144" t="s">
        <v>186</v>
      </c>
      <c r="B144" t="s">
        <v>16</v>
      </c>
      <c r="C144" t="s">
        <v>48</v>
      </c>
      <c r="D144" t="str">
        <f t="shared" si="4"/>
        <v>John Davis</v>
      </c>
      <c r="E144" t="s">
        <v>8</v>
      </c>
      <c r="F144" s="2">
        <v>43887</v>
      </c>
      <c r="G144" s="6">
        <v>82713.429999999993</v>
      </c>
      <c r="H144">
        <v>96</v>
      </c>
      <c r="I144" t="s">
        <v>35</v>
      </c>
      <c r="J144" t="str">
        <f>VLOOKUP(E144,Lookup_Departments!$A$1:$B$7,2,FALSE)</f>
        <v>Information Technology</v>
      </c>
      <c r="K144" s="8">
        <f t="shared" ca="1" si="5"/>
        <v>6</v>
      </c>
      <c r="L144" t="str">
        <f>VLOOKUP(H144,Lookup_Performance!$A$1:$D$6,3,TRUE)</f>
        <v>Outstanding</v>
      </c>
      <c r="M144" s="6">
        <f>G144*VLOOKUP(H144,Lookup_Performance!$A$1:$D$6,4,TRUE)</f>
        <v>9925.6115999999984</v>
      </c>
    </row>
    <row r="145" spans="1:13" x14ac:dyDescent="0.25">
      <c r="A145" t="s">
        <v>187</v>
      </c>
      <c r="B145" t="s">
        <v>10</v>
      </c>
      <c r="C145" t="s">
        <v>48</v>
      </c>
      <c r="D145" t="str">
        <f t="shared" si="4"/>
        <v>Richard Davis</v>
      </c>
      <c r="E145" t="s">
        <v>71</v>
      </c>
      <c r="F145" s="2">
        <v>44991</v>
      </c>
      <c r="G145" s="6">
        <v>106896</v>
      </c>
      <c r="H145">
        <v>52</v>
      </c>
      <c r="I145" t="s">
        <v>22</v>
      </c>
      <c r="J145" t="str">
        <f>VLOOKUP(E145,Lookup_Departments!$A$1:$B$7,2,FALSE)</f>
        <v>Human Resources</v>
      </c>
      <c r="K145" s="8">
        <f t="shared" ca="1" si="5"/>
        <v>3</v>
      </c>
      <c r="L145" t="str">
        <f>VLOOKUP(H145,Lookup_Performance!$A$1:$D$6,3,TRUE)</f>
        <v>Developing</v>
      </c>
      <c r="M145" s="6">
        <f>G145*VLOOKUP(H145,Lookup_Performance!$A$1:$D$6,4,TRUE)</f>
        <v>2137.92</v>
      </c>
    </row>
    <row r="146" spans="1:13" x14ac:dyDescent="0.25">
      <c r="A146" t="s">
        <v>188</v>
      </c>
      <c r="C146" t="s">
        <v>45</v>
      </c>
      <c r="D146" t="str">
        <f t="shared" si="4"/>
        <v xml:space="preserve"> Jones</v>
      </c>
      <c r="E146" t="s">
        <v>8</v>
      </c>
      <c r="F146" s="2">
        <v>43477</v>
      </c>
      <c r="G146" s="6">
        <v>112887</v>
      </c>
      <c r="H146">
        <v>59</v>
      </c>
      <c r="I146" t="s">
        <v>35</v>
      </c>
      <c r="J146" t="str">
        <f>VLOOKUP(E146,Lookup_Departments!$A$1:$B$7,2,FALSE)</f>
        <v>Information Technology</v>
      </c>
      <c r="K146" s="8">
        <f t="shared" ca="1" si="5"/>
        <v>7</v>
      </c>
      <c r="L146" t="str">
        <f>VLOOKUP(H146,Lookup_Performance!$A$1:$D$6,3,TRUE)</f>
        <v>Developing</v>
      </c>
      <c r="M146" s="6">
        <f>G146*VLOOKUP(H146,Lookup_Performance!$A$1:$D$6,4,TRUE)</f>
        <v>2257.7400000000002</v>
      </c>
    </row>
    <row r="147" spans="1:13" x14ac:dyDescent="0.25">
      <c r="A147" t="s">
        <v>189</v>
      </c>
      <c r="B147" t="s">
        <v>114</v>
      </c>
      <c r="C147" t="s">
        <v>31</v>
      </c>
      <c r="D147" t="str">
        <f t="shared" si="4"/>
        <v>William Rodriguez</v>
      </c>
      <c r="E147" t="s">
        <v>18</v>
      </c>
      <c r="F147" s="2">
        <v>45037</v>
      </c>
      <c r="G147" s="6">
        <v>85457</v>
      </c>
      <c r="H147">
        <v>79</v>
      </c>
      <c r="I147" t="s">
        <v>35</v>
      </c>
      <c r="J147" t="str">
        <f>VLOOKUP(E147,Lookup_Departments!$A$1:$B$7,2,FALSE)</f>
        <v>Finance</v>
      </c>
      <c r="K147" s="8">
        <f t="shared" ca="1" si="5"/>
        <v>3</v>
      </c>
      <c r="L147" t="str">
        <f>VLOOKUP(H147,Lookup_Performance!$A$1:$D$6,3,TRUE)</f>
        <v>Achieving</v>
      </c>
      <c r="M147" s="6">
        <f>G147*VLOOKUP(H147,Lookup_Performance!$A$1:$D$6,4,TRUE)</f>
        <v>4272.8500000000004</v>
      </c>
    </row>
    <row r="148" spans="1:13" x14ac:dyDescent="0.25">
      <c r="A148" t="s">
        <v>190</v>
      </c>
      <c r="B148" t="s">
        <v>76</v>
      </c>
      <c r="C148" t="s">
        <v>37</v>
      </c>
      <c r="D148" t="str">
        <f t="shared" si="4"/>
        <v>Melissa Miller</v>
      </c>
      <c r="E148" t="s">
        <v>34</v>
      </c>
      <c r="F148" s="2">
        <v>42519</v>
      </c>
      <c r="G148" s="6">
        <v>62798</v>
      </c>
      <c r="H148">
        <v>30</v>
      </c>
      <c r="I148" t="s">
        <v>35</v>
      </c>
      <c r="J148" t="str">
        <f>VLOOKUP(E148,Lookup_Departments!$A$1:$B$7,2,FALSE)</f>
        <v>Sales</v>
      </c>
      <c r="K148" s="8">
        <f t="shared" ca="1" si="5"/>
        <v>10</v>
      </c>
      <c r="L148" t="str">
        <f>VLOOKUP(H148,Lookup_Performance!$A$1:$D$6,3,TRUE)</f>
        <v>Needs Improvement</v>
      </c>
      <c r="M148" s="6">
        <f>G148*VLOOKUP(H148,Lookup_Performance!$A$1:$D$6,4,TRUE)</f>
        <v>0</v>
      </c>
    </row>
    <row r="149" spans="1:13" x14ac:dyDescent="0.25">
      <c r="A149" t="s">
        <v>191</v>
      </c>
      <c r="B149" t="s">
        <v>6</v>
      </c>
      <c r="C149" t="s">
        <v>17</v>
      </c>
      <c r="D149" t="str">
        <f t="shared" si="4"/>
        <v>Emily Martinez</v>
      </c>
      <c r="E149" t="s">
        <v>25</v>
      </c>
      <c r="F149" s="2">
        <v>44711</v>
      </c>
      <c r="G149" s="6">
        <v>47794</v>
      </c>
      <c r="H149">
        <v>73</v>
      </c>
      <c r="I149" t="s">
        <v>22</v>
      </c>
      <c r="J149" t="str">
        <f>VLOOKUP(E149,Lookup_Departments!$A$1:$B$7,2,FALSE)</f>
        <v>Operations</v>
      </c>
      <c r="K149" s="8">
        <f t="shared" ca="1" si="5"/>
        <v>4</v>
      </c>
      <c r="L149" t="str">
        <f>VLOOKUP(H149,Lookup_Performance!$A$1:$D$6,3,TRUE)</f>
        <v>Achieving</v>
      </c>
      <c r="M149" s="6">
        <f>G149*VLOOKUP(H149,Lookup_Performance!$A$1:$D$6,4,TRUE)</f>
        <v>2389.7000000000003</v>
      </c>
    </row>
    <row r="150" spans="1:13" x14ac:dyDescent="0.25">
      <c r="A150" t="s">
        <v>192</v>
      </c>
      <c r="B150" t="s">
        <v>50</v>
      </c>
      <c r="C150" t="s">
        <v>31</v>
      </c>
      <c r="D150" t="str">
        <f t="shared" si="4"/>
        <v>James Rodriguez</v>
      </c>
      <c r="E150" t="s">
        <v>12</v>
      </c>
      <c r="F150" s="2">
        <v>37941</v>
      </c>
      <c r="G150" s="6">
        <v>93094</v>
      </c>
      <c r="H150">
        <v>74</v>
      </c>
      <c r="I150" t="s">
        <v>35</v>
      </c>
      <c r="J150" t="str">
        <f>VLOOKUP(E150,Lookup_Departments!$A$1:$B$7,2,FALSE)</f>
        <v>Marketing</v>
      </c>
      <c r="K150" s="8">
        <f t="shared" ca="1" si="5"/>
        <v>23</v>
      </c>
      <c r="L150" t="str">
        <f>VLOOKUP(H150,Lookup_Performance!$A$1:$D$6,3,TRUE)</f>
        <v>Achieving</v>
      </c>
      <c r="M150" s="6">
        <f>G150*VLOOKUP(H150,Lookup_Performance!$A$1:$D$6,4,TRUE)</f>
        <v>4654.7</v>
      </c>
    </row>
    <row r="151" spans="1:13" x14ac:dyDescent="0.25">
      <c r="A151" t="s">
        <v>193</v>
      </c>
      <c r="B151" t="s">
        <v>55</v>
      </c>
      <c r="C151" t="s">
        <v>7</v>
      </c>
      <c r="D151" t="str">
        <f t="shared" si="4"/>
        <v>Amanda Brown</v>
      </c>
      <c r="E151" t="s">
        <v>8</v>
      </c>
      <c r="F151" s="2">
        <v>44848</v>
      </c>
      <c r="G151" s="6">
        <v>118634</v>
      </c>
      <c r="H151">
        <v>91</v>
      </c>
      <c r="I151" t="s">
        <v>35</v>
      </c>
      <c r="J151" t="str">
        <f>VLOOKUP(E151,Lookup_Departments!$A$1:$B$7,2,FALSE)</f>
        <v>Information Technology</v>
      </c>
      <c r="K151" s="8">
        <f t="shared" ca="1" si="5"/>
        <v>4</v>
      </c>
      <c r="L151" t="str">
        <f>VLOOKUP(H151,Lookup_Performance!$A$1:$D$6,3,TRUE)</f>
        <v>Exceeding</v>
      </c>
      <c r="M151" s="6">
        <f>G151*VLOOKUP(H151,Lookup_Performance!$A$1:$D$6,4,TRUE)</f>
        <v>9490.7199999999993</v>
      </c>
    </row>
    <row r="152" spans="1:13" hidden="1" x14ac:dyDescent="0.25">
      <c r="K152" s="8"/>
      <c r="M152" s="6"/>
    </row>
    <row r="153" spans="1:13" hidden="1" x14ac:dyDescent="0.25">
      <c r="K153" s="8"/>
      <c r="M153" s="6"/>
    </row>
    <row r="154" spans="1:13" hidden="1" x14ac:dyDescent="0.25">
      <c r="K154" s="8"/>
      <c r="M154" s="6"/>
    </row>
    <row r="155" spans="1:13" hidden="1" x14ac:dyDescent="0.25">
      <c r="K155" s="8"/>
      <c r="M155" s="6"/>
    </row>
    <row r="156" spans="1:13" hidden="1" x14ac:dyDescent="0.25">
      <c r="K156" s="8"/>
      <c r="M156" s="6"/>
    </row>
    <row r="157" spans="1:13" hidden="1" x14ac:dyDescent="0.25">
      <c r="K157" s="8"/>
      <c r="M157" s="6"/>
    </row>
    <row r="158" spans="1:13" hidden="1" x14ac:dyDescent="0.25">
      <c r="K158" s="8"/>
      <c r="M158" s="6"/>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348C3-FFD3-4292-BF05-6E3CA3D36AE1}">
  <dimension ref="A2:J44"/>
  <sheetViews>
    <sheetView tabSelected="1" workbookViewId="0">
      <selection activeCell="F13" sqref="F13"/>
    </sheetView>
  </sheetViews>
  <sheetFormatPr defaultRowHeight="15" x14ac:dyDescent="0.25"/>
  <cols>
    <col min="1" max="1" width="15.42578125" bestFit="1" customWidth="1"/>
    <col min="2" max="2" width="16.42578125" bestFit="1" customWidth="1"/>
    <col min="3" max="3" width="4.42578125" bestFit="1" customWidth="1"/>
    <col min="5" max="5" width="11.28515625" bestFit="1" customWidth="1"/>
    <col min="6" max="6" width="16.28515625" bestFit="1" customWidth="1"/>
    <col min="7" max="7" width="22.5703125" bestFit="1" customWidth="1"/>
    <col min="8" max="8" width="26.28515625" bestFit="1" customWidth="1"/>
    <col min="9" max="9" width="11.28515625" bestFit="1" customWidth="1"/>
    <col min="13" max="13" width="11.28515625" bestFit="1" customWidth="1"/>
    <col min="14" max="14" width="13.140625" bestFit="1" customWidth="1"/>
  </cols>
  <sheetData>
    <row r="2" spans="1:8" x14ac:dyDescent="0.25">
      <c r="G2" s="9" t="s">
        <v>221</v>
      </c>
      <c r="H2" t="s">
        <v>219</v>
      </c>
    </row>
    <row r="3" spans="1:8" x14ac:dyDescent="0.25">
      <c r="A3" t="s">
        <v>219</v>
      </c>
      <c r="B3" t="s">
        <v>220</v>
      </c>
      <c r="G3" s="10" t="s">
        <v>198</v>
      </c>
      <c r="H3" s="8">
        <v>17</v>
      </c>
    </row>
    <row r="4" spans="1:8" x14ac:dyDescent="0.25">
      <c r="A4" s="8">
        <v>150</v>
      </c>
      <c r="B4" s="13">
        <v>83485.197333333301</v>
      </c>
      <c r="G4" s="10" t="s">
        <v>196</v>
      </c>
      <c r="H4" s="8">
        <v>18</v>
      </c>
    </row>
    <row r="5" spans="1:8" x14ac:dyDescent="0.25">
      <c r="G5" s="10" t="s">
        <v>197</v>
      </c>
      <c r="H5" s="8">
        <v>36</v>
      </c>
    </row>
    <row r="6" spans="1:8" x14ac:dyDescent="0.25">
      <c r="G6" s="10" t="s">
        <v>199</v>
      </c>
      <c r="H6" s="8">
        <v>19</v>
      </c>
    </row>
    <row r="7" spans="1:8" x14ac:dyDescent="0.25">
      <c r="G7" s="10" t="s">
        <v>201</v>
      </c>
      <c r="H7" s="8">
        <v>29</v>
      </c>
    </row>
    <row r="8" spans="1:8" x14ac:dyDescent="0.25">
      <c r="A8" s="9" t="s">
        <v>224</v>
      </c>
      <c r="B8" s="9" t="s">
        <v>223</v>
      </c>
      <c r="G8" s="10" t="s">
        <v>200</v>
      </c>
      <c r="H8" s="8">
        <v>31</v>
      </c>
    </row>
    <row r="9" spans="1:8" x14ac:dyDescent="0.25">
      <c r="A9" s="9" t="s">
        <v>221</v>
      </c>
      <c r="B9" t="s">
        <v>35</v>
      </c>
      <c r="C9" t="s">
        <v>22</v>
      </c>
      <c r="D9" t="s">
        <v>83</v>
      </c>
      <c r="E9" t="s">
        <v>222</v>
      </c>
      <c r="G9" s="10" t="s">
        <v>222</v>
      </c>
      <c r="H9" s="8">
        <v>150</v>
      </c>
    </row>
    <row r="10" spans="1:8" x14ac:dyDescent="0.25">
      <c r="A10" s="10" t="s">
        <v>198</v>
      </c>
      <c r="B10" s="8">
        <v>14</v>
      </c>
      <c r="C10" s="8">
        <v>3</v>
      </c>
      <c r="D10" s="8"/>
      <c r="E10" s="8">
        <v>17</v>
      </c>
    </row>
    <row r="11" spans="1:8" x14ac:dyDescent="0.25">
      <c r="A11" s="10" t="s">
        <v>196</v>
      </c>
      <c r="B11" s="8">
        <v>15</v>
      </c>
      <c r="C11" s="8">
        <v>2</v>
      </c>
      <c r="D11" s="8">
        <v>1</v>
      </c>
      <c r="E11" s="8">
        <v>18</v>
      </c>
    </row>
    <row r="12" spans="1:8" x14ac:dyDescent="0.25">
      <c r="A12" s="10" t="s">
        <v>197</v>
      </c>
      <c r="B12" s="8">
        <v>28</v>
      </c>
      <c r="C12" s="8">
        <v>6</v>
      </c>
      <c r="D12" s="8">
        <v>2</v>
      </c>
      <c r="E12" s="8">
        <v>36</v>
      </c>
      <c r="G12" s="9" t="s">
        <v>221</v>
      </c>
      <c r="H12" t="s">
        <v>224</v>
      </c>
    </row>
    <row r="13" spans="1:8" x14ac:dyDescent="0.25">
      <c r="A13" s="10" t="s">
        <v>199</v>
      </c>
      <c r="B13" s="8">
        <v>16</v>
      </c>
      <c r="C13" s="8">
        <v>3</v>
      </c>
      <c r="D13" s="8"/>
      <c r="E13" s="8">
        <v>19</v>
      </c>
      <c r="G13" s="10" t="s">
        <v>198</v>
      </c>
      <c r="H13" s="8">
        <v>17</v>
      </c>
    </row>
    <row r="14" spans="1:8" x14ac:dyDescent="0.25">
      <c r="A14" s="10" t="s">
        <v>201</v>
      </c>
      <c r="B14" s="8">
        <v>18</v>
      </c>
      <c r="C14" s="8">
        <v>6</v>
      </c>
      <c r="D14" s="8">
        <v>5</v>
      </c>
      <c r="E14" s="8">
        <v>29</v>
      </c>
      <c r="G14" s="10" t="s">
        <v>196</v>
      </c>
      <c r="H14" s="8">
        <v>18</v>
      </c>
    </row>
    <row r="15" spans="1:8" x14ac:dyDescent="0.25">
      <c r="A15" s="10" t="s">
        <v>200</v>
      </c>
      <c r="B15" s="8">
        <v>25</v>
      </c>
      <c r="C15" s="8">
        <v>4</v>
      </c>
      <c r="D15" s="8">
        <v>2</v>
      </c>
      <c r="E15" s="8">
        <v>31</v>
      </c>
      <c r="G15" s="10" t="s">
        <v>197</v>
      </c>
      <c r="H15" s="8">
        <v>36</v>
      </c>
    </row>
    <row r="16" spans="1:8" x14ac:dyDescent="0.25">
      <c r="A16" s="10" t="s">
        <v>222</v>
      </c>
      <c r="B16" s="8">
        <v>116</v>
      </c>
      <c r="C16" s="8">
        <v>24</v>
      </c>
      <c r="D16" s="8">
        <v>10</v>
      </c>
      <c r="E16" s="8">
        <v>150</v>
      </c>
      <c r="G16" s="10" t="s">
        <v>199</v>
      </c>
      <c r="H16" s="8">
        <v>19</v>
      </c>
    </row>
    <row r="17" spans="1:10" x14ac:dyDescent="0.25">
      <c r="G17" s="10" t="s">
        <v>201</v>
      </c>
      <c r="H17" s="8">
        <v>29</v>
      </c>
    </row>
    <row r="18" spans="1:10" x14ac:dyDescent="0.25">
      <c r="G18" s="10" t="s">
        <v>200</v>
      </c>
      <c r="H18" s="8">
        <v>31</v>
      </c>
    </row>
    <row r="19" spans="1:10" x14ac:dyDescent="0.25">
      <c r="G19" s="10" t="s">
        <v>222</v>
      </c>
      <c r="H19" s="8">
        <v>150</v>
      </c>
    </row>
    <row r="20" spans="1:10" x14ac:dyDescent="0.25">
      <c r="A20" s="9" t="s">
        <v>221</v>
      </c>
      <c r="B20" t="s">
        <v>226</v>
      </c>
    </row>
    <row r="21" spans="1:10" x14ac:dyDescent="0.25">
      <c r="A21" s="10" t="s">
        <v>35</v>
      </c>
      <c r="B21" s="12">
        <v>67.862068965517238</v>
      </c>
      <c r="E21" s="9" t="s">
        <v>224</v>
      </c>
      <c r="F21" s="9" t="s">
        <v>223</v>
      </c>
    </row>
    <row r="22" spans="1:10" x14ac:dyDescent="0.25">
      <c r="A22" s="10" t="s">
        <v>22</v>
      </c>
      <c r="B22" s="12">
        <v>66.291666666666671</v>
      </c>
      <c r="E22" s="9" t="s">
        <v>221</v>
      </c>
      <c r="F22" t="s">
        <v>35</v>
      </c>
      <c r="G22" t="s">
        <v>22</v>
      </c>
      <c r="H22" t="s">
        <v>83</v>
      </c>
      <c r="I22" t="s">
        <v>222</v>
      </c>
      <c r="J22" t="s">
        <v>225</v>
      </c>
    </row>
    <row r="23" spans="1:10" x14ac:dyDescent="0.25">
      <c r="A23" s="10" t="s">
        <v>83</v>
      </c>
      <c r="B23" s="12">
        <v>76.400000000000006</v>
      </c>
      <c r="E23" s="10" t="s">
        <v>198</v>
      </c>
      <c r="F23" s="8">
        <v>14</v>
      </c>
      <c r="G23" s="8">
        <v>3</v>
      </c>
      <c r="H23" s="8"/>
      <c r="I23" s="8">
        <v>17</v>
      </c>
      <c r="J23" s="11">
        <f>G23/I23</f>
        <v>0.17647058823529413</v>
      </c>
    </row>
    <row r="24" spans="1:10" x14ac:dyDescent="0.25">
      <c r="A24" s="10" t="s">
        <v>222</v>
      </c>
      <c r="B24" s="12">
        <v>68.180000000000007</v>
      </c>
      <c r="E24" s="10" t="s">
        <v>196</v>
      </c>
      <c r="F24" s="8">
        <v>15</v>
      </c>
      <c r="G24" s="8">
        <v>2</v>
      </c>
      <c r="H24" s="8">
        <v>1</v>
      </c>
      <c r="I24" s="8">
        <v>18</v>
      </c>
      <c r="J24" s="11">
        <f t="shared" ref="J24:J29" si="0">G24/I24</f>
        <v>0.1111111111111111</v>
      </c>
    </row>
    <row r="25" spans="1:10" x14ac:dyDescent="0.25">
      <c r="E25" s="10" t="s">
        <v>197</v>
      </c>
      <c r="F25" s="8">
        <v>28</v>
      </c>
      <c r="G25" s="8">
        <v>6</v>
      </c>
      <c r="H25" s="8">
        <v>2</v>
      </c>
      <c r="I25" s="8">
        <v>36</v>
      </c>
      <c r="J25" s="11">
        <f t="shared" si="0"/>
        <v>0.16666666666666666</v>
      </c>
    </row>
    <row r="26" spans="1:10" x14ac:dyDescent="0.25">
      <c r="E26" s="10" t="s">
        <v>199</v>
      </c>
      <c r="F26" s="8">
        <v>16</v>
      </c>
      <c r="G26" s="8">
        <v>3</v>
      </c>
      <c r="H26" s="8"/>
      <c r="I26" s="8">
        <v>19</v>
      </c>
      <c r="J26" s="11">
        <f t="shared" si="0"/>
        <v>0.15789473684210525</v>
      </c>
    </row>
    <row r="27" spans="1:10" x14ac:dyDescent="0.25">
      <c r="E27" s="10" t="s">
        <v>201</v>
      </c>
      <c r="F27" s="8">
        <v>18</v>
      </c>
      <c r="G27" s="8">
        <v>6</v>
      </c>
      <c r="H27" s="8">
        <v>5</v>
      </c>
      <c r="I27" s="8">
        <v>29</v>
      </c>
      <c r="J27" s="11">
        <f t="shared" si="0"/>
        <v>0.20689655172413793</v>
      </c>
    </row>
    <row r="28" spans="1:10" x14ac:dyDescent="0.25">
      <c r="A28" s="9" t="s">
        <v>221</v>
      </c>
      <c r="B28" t="s">
        <v>227</v>
      </c>
      <c r="E28" s="10" t="s">
        <v>200</v>
      </c>
      <c r="F28" s="8">
        <v>25</v>
      </c>
      <c r="G28" s="8">
        <v>4</v>
      </c>
      <c r="H28" s="8">
        <v>2</v>
      </c>
      <c r="I28" s="8">
        <v>31</v>
      </c>
      <c r="J28" s="11">
        <f t="shared" si="0"/>
        <v>0.12903225806451613</v>
      </c>
    </row>
    <row r="29" spans="1:10" x14ac:dyDescent="0.25">
      <c r="A29" s="10" t="s">
        <v>208</v>
      </c>
      <c r="B29" s="6">
        <v>197690.1575</v>
      </c>
      <c r="E29" s="10" t="s">
        <v>222</v>
      </c>
      <c r="F29" s="8">
        <v>116</v>
      </c>
      <c r="G29" s="8">
        <v>24</v>
      </c>
      <c r="H29" s="8">
        <v>10</v>
      </c>
      <c r="I29" s="8">
        <v>150</v>
      </c>
      <c r="J29" s="11">
        <f t="shared" si="0"/>
        <v>0.16</v>
      </c>
    </row>
    <row r="30" spans="1:10" x14ac:dyDescent="0.25">
      <c r="A30" s="10" t="s">
        <v>207</v>
      </c>
      <c r="B30" s="6">
        <v>71372.448800000027</v>
      </c>
    </row>
    <row r="31" spans="1:10" x14ac:dyDescent="0.25">
      <c r="A31" s="10" t="s">
        <v>209</v>
      </c>
      <c r="B31" s="6">
        <v>144546.94880000001</v>
      </c>
    </row>
    <row r="32" spans="1:10" x14ac:dyDescent="0.25">
      <c r="A32" s="10" t="s">
        <v>206</v>
      </c>
      <c r="B32" s="6">
        <v>0</v>
      </c>
    </row>
    <row r="33" spans="1:2" x14ac:dyDescent="0.25">
      <c r="A33" s="10" t="s">
        <v>210</v>
      </c>
      <c r="B33" s="6">
        <v>92304.651600000012</v>
      </c>
    </row>
    <row r="34" spans="1:2" x14ac:dyDescent="0.25">
      <c r="A34" s="10" t="s">
        <v>222</v>
      </c>
      <c r="B34" s="6">
        <v>505914.2067000001</v>
      </c>
    </row>
    <row r="37" spans="1:2" x14ac:dyDescent="0.25">
      <c r="A37" s="9" t="s">
        <v>221</v>
      </c>
      <c r="B37" t="s">
        <v>220</v>
      </c>
    </row>
    <row r="38" spans="1:2" x14ac:dyDescent="0.25">
      <c r="A38" s="10" t="s">
        <v>198</v>
      </c>
      <c r="B38" s="6">
        <v>87016.428823529393</v>
      </c>
    </row>
    <row r="39" spans="1:2" x14ac:dyDescent="0.25">
      <c r="A39" s="10" t="s">
        <v>196</v>
      </c>
      <c r="B39" s="6">
        <v>85486.801666666666</v>
      </c>
    </row>
    <row r="40" spans="1:2" x14ac:dyDescent="0.25">
      <c r="A40" s="10" t="s">
        <v>197</v>
      </c>
      <c r="B40" s="6">
        <v>80389.143055555571</v>
      </c>
    </row>
    <row r="41" spans="1:2" x14ac:dyDescent="0.25">
      <c r="A41" s="10" t="s">
        <v>199</v>
      </c>
      <c r="B41" s="6">
        <v>85361.075263157894</v>
      </c>
    </row>
    <row r="42" spans="1:2" x14ac:dyDescent="0.25">
      <c r="A42" s="10" t="s">
        <v>201</v>
      </c>
      <c r="B42" s="6">
        <v>79988.512413793098</v>
      </c>
    </row>
    <row r="43" spans="1:2" x14ac:dyDescent="0.25">
      <c r="A43" s="10" t="s">
        <v>200</v>
      </c>
      <c r="B43" s="6">
        <v>86103.272258064535</v>
      </c>
    </row>
    <row r="44" spans="1:2" x14ac:dyDescent="0.25">
      <c r="A44" s="10" t="s">
        <v>222</v>
      </c>
      <c r="B44" s="6">
        <v>83485.197333333301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D555D-4DF5-44FB-AFCF-0F9847245202}">
  <dimension ref="R8:R14"/>
  <sheetViews>
    <sheetView showGridLines="0" zoomScaleNormal="100" workbookViewId="0">
      <selection activeCell="T8" sqref="T8"/>
    </sheetView>
  </sheetViews>
  <sheetFormatPr defaultRowHeight="15" x14ac:dyDescent="0.25"/>
  <cols>
    <col min="18" max="18" width="12.5703125" hidden="1" customWidth="1"/>
  </cols>
  <sheetData>
    <row r="8" spans="18:18" x14ac:dyDescent="0.25">
      <c r="R8" s="14">
        <f>AVERAGE(Raw_Employee_Data!G:G)</f>
        <v>83485.197333333301</v>
      </c>
    </row>
    <row r="10" spans="18:18" x14ac:dyDescent="0.25">
      <c r="R10">
        <f>COUNTA(Raw_Employee_Data!A2:A151)</f>
        <v>150</v>
      </c>
    </row>
    <row r="12" spans="18:18" x14ac:dyDescent="0.25">
      <c r="R12" s="11">
        <f>COUNTIF(EmployeeData[EmploymentStatus],"Left")/COUNTA(EmployeeData[EMP ID])</f>
        <v>0.16</v>
      </c>
    </row>
    <row r="14" spans="18:18" x14ac:dyDescent="0.25">
      <c r="R14" s="14">
        <f>SUM(Raw_Employee_Data!M:M)</f>
        <v>505914.20670000004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5" x14ac:dyDescent="0.25"/>
  <sheetData>
    <row r="1" spans="1:2" x14ac:dyDescent="0.25">
      <c r="A1" s="1" t="s">
        <v>194</v>
      </c>
      <c r="B1" s="1" t="s">
        <v>195</v>
      </c>
    </row>
    <row r="2" spans="1:2" x14ac:dyDescent="0.25">
      <c r="A2" t="s">
        <v>71</v>
      </c>
      <c r="B2" t="s">
        <v>196</v>
      </c>
    </row>
    <row r="3" spans="1:2" x14ac:dyDescent="0.25">
      <c r="A3" t="s">
        <v>8</v>
      </c>
      <c r="B3" t="s">
        <v>197</v>
      </c>
    </row>
    <row r="4" spans="1:2" x14ac:dyDescent="0.25">
      <c r="A4" t="s">
        <v>18</v>
      </c>
      <c r="B4" t="s">
        <v>198</v>
      </c>
    </row>
    <row r="5" spans="1:2" x14ac:dyDescent="0.25">
      <c r="A5" t="s">
        <v>12</v>
      </c>
      <c r="B5" t="s">
        <v>199</v>
      </c>
    </row>
    <row r="6" spans="1:2" x14ac:dyDescent="0.25">
      <c r="A6" t="s">
        <v>34</v>
      </c>
      <c r="B6" t="s">
        <v>200</v>
      </c>
    </row>
    <row r="7" spans="1:2" x14ac:dyDescent="0.25">
      <c r="A7" t="s">
        <v>25</v>
      </c>
      <c r="B7" t="s">
        <v>201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heetViews>
  <sheetFormatPr defaultRowHeight="15" x14ac:dyDescent="0.25"/>
  <cols>
    <col min="1" max="1" width="10.42578125" bestFit="1" customWidth="1"/>
    <col min="2" max="2" width="10.7109375" bestFit="1" customWidth="1"/>
    <col min="3" max="3" width="19.5703125" bestFit="1" customWidth="1"/>
    <col min="4" max="4" width="17.7109375" bestFit="1" customWidth="1"/>
  </cols>
  <sheetData>
    <row r="1" spans="1:4" x14ac:dyDescent="0.25">
      <c r="A1" s="1" t="s">
        <v>202</v>
      </c>
      <c r="B1" s="1" t="s">
        <v>203</v>
      </c>
      <c r="C1" s="1" t="s">
        <v>204</v>
      </c>
      <c r="D1" s="1" t="s">
        <v>205</v>
      </c>
    </row>
    <row r="2" spans="1:4" x14ac:dyDescent="0.25">
      <c r="A2">
        <v>0</v>
      </c>
      <c r="B2">
        <v>49</v>
      </c>
      <c r="C2" t="s">
        <v>206</v>
      </c>
      <c r="D2">
        <v>0</v>
      </c>
    </row>
    <row r="3" spans="1:4" x14ac:dyDescent="0.25">
      <c r="A3">
        <v>50</v>
      </c>
      <c r="B3">
        <v>69</v>
      </c>
      <c r="C3" t="s">
        <v>207</v>
      </c>
      <c r="D3">
        <v>0.02</v>
      </c>
    </row>
    <row r="4" spans="1:4" x14ac:dyDescent="0.25">
      <c r="A4">
        <v>70</v>
      </c>
      <c r="B4">
        <v>84</v>
      </c>
      <c r="C4" t="s">
        <v>208</v>
      </c>
      <c r="D4">
        <v>0.05</v>
      </c>
    </row>
    <row r="5" spans="1:4" x14ac:dyDescent="0.25">
      <c r="A5">
        <v>85</v>
      </c>
      <c r="B5">
        <v>94</v>
      </c>
      <c r="C5" t="s">
        <v>209</v>
      </c>
      <c r="D5">
        <v>0.08</v>
      </c>
    </row>
    <row r="6" spans="1:4" x14ac:dyDescent="0.25">
      <c r="A6">
        <v>95</v>
      </c>
      <c r="B6">
        <v>100</v>
      </c>
      <c r="C6" t="s">
        <v>210</v>
      </c>
      <c r="D6">
        <v>0.12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Raw_Employee_Data</vt:lpstr>
      <vt:lpstr>Analysis</vt:lpstr>
      <vt:lpstr>HR Dashboard</vt:lpstr>
      <vt:lpstr>Lookup_Departments</vt:lpstr>
      <vt:lpstr>Lookup_Performance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Shukurah Shuaib</cp:lastModifiedBy>
  <dcterms:created xsi:type="dcterms:W3CDTF">2026-06-04T20:20:01Z</dcterms:created>
  <dcterms:modified xsi:type="dcterms:W3CDTF">2026-07-06T16:41:52Z</dcterms:modified>
</cp:coreProperties>
</file>